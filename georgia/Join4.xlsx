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Regionalization\Regression\georgia\"/>
    </mc:Choice>
  </mc:AlternateContent>
  <xr:revisionPtr revIDLastSave="0" documentId="13_ncr:9_{B52E2227-AF1B-43B4-AF43-0DFD435143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oin4" sheetId="1" r:id="rId1"/>
  </sheets>
  <definedNames>
    <definedName name="_xlnm._FilterDatabase" localSheetId="0" hidden="1">Join4!$A$1:$AQ$162</definedName>
    <definedName name="_xlnm.Database">Join4!$C$1:$AQ$160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62" i="1" l="1"/>
  <c r="D162" i="1"/>
  <c r="E162" i="1"/>
  <c r="B162" i="1"/>
  <c r="C161" i="1"/>
  <c r="D161" i="1"/>
  <c r="E161" i="1"/>
  <c r="B161" i="1"/>
  <c r="I46" i="1" l="1"/>
  <c r="H70" i="1"/>
  <c r="I153" i="1"/>
  <c r="I12" i="1"/>
  <c r="H48" i="1"/>
  <c r="I4" i="1"/>
  <c r="G5" i="1"/>
  <c r="I132" i="1"/>
  <c r="I110" i="1"/>
  <c r="I89" i="1"/>
  <c r="I68" i="1"/>
  <c r="H134" i="1"/>
  <c r="I25" i="1"/>
  <c r="G141" i="1"/>
  <c r="G85" i="1"/>
  <c r="G37" i="1"/>
  <c r="H115" i="1"/>
  <c r="H30" i="1"/>
  <c r="I150" i="1"/>
  <c r="I129" i="1"/>
  <c r="I108" i="1"/>
  <c r="I86" i="1"/>
  <c r="I65" i="1"/>
  <c r="I44" i="1"/>
  <c r="I22" i="1"/>
  <c r="G140" i="1"/>
  <c r="G82" i="1"/>
  <c r="G21" i="1"/>
  <c r="H112" i="1"/>
  <c r="H27" i="1"/>
  <c r="I148" i="1"/>
  <c r="I126" i="1"/>
  <c r="I105" i="1"/>
  <c r="I84" i="1"/>
  <c r="I62" i="1"/>
  <c r="I41" i="1"/>
  <c r="I20" i="1"/>
  <c r="G40" i="1"/>
  <c r="G128" i="1"/>
  <c r="G80" i="1"/>
  <c r="G18" i="1"/>
  <c r="H94" i="1"/>
  <c r="H22" i="1"/>
  <c r="I145" i="1"/>
  <c r="I124" i="1"/>
  <c r="I102" i="1"/>
  <c r="I81" i="1"/>
  <c r="I60" i="1"/>
  <c r="I38" i="1"/>
  <c r="I17" i="1"/>
  <c r="G144" i="1"/>
  <c r="G125" i="1"/>
  <c r="G64" i="1"/>
  <c r="G16" i="1"/>
  <c r="H91" i="1"/>
  <c r="H8" i="1"/>
  <c r="I142" i="1"/>
  <c r="I121" i="1"/>
  <c r="I100" i="1"/>
  <c r="I78" i="1"/>
  <c r="I57" i="1"/>
  <c r="I36" i="1"/>
  <c r="I14" i="1"/>
  <c r="F110" i="1"/>
  <c r="G157" i="1"/>
  <c r="G122" i="1"/>
  <c r="G61" i="1"/>
  <c r="H158" i="1"/>
  <c r="H72" i="1"/>
  <c r="H6" i="1"/>
  <c r="I140" i="1"/>
  <c r="I118" i="1"/>
  <c r="I97" i="1"/>
  <c r="I76" i="1"/>
  <c r="I54" i="1"/>
  <c r="I33" i="1"/>
  <c r="I5" i="1"/>
  <c r="G156" i="1"/>
  <c r="G106" i="1"/>
  <c r="G58" i="1"/>
  <c r="H155" i="1"/>
  <c r="I158" i="1"/>
  <c r="I137" i="1"/>
  <c r="I116" i="1"/>
  <c r="I94" i="1"/>
  <c r="I73" i="1"/>
  <c r="I52" i="1"/>
  <c r="I30" i="1"/>
  <c r="I9" i="1"/>
  <c r="G101" i="1"/>
  <c r="H14" i="1"/>
  <c r="G154" i="1"/>
  <c r="G104" i="1"/>
  <c r="G42" i="1"/>
  <c r="H136" i="1"/>
  <c r="H51" i="1"/>
  <c r="I156" i="1"/>
  <c r="I134" i="1"/>
  <c r="I113" i="1"/>
  <c r="I92" i="1"/>
  <c r="I70" i="1"/>
  <c r="I49" i="1"/>
  <c r="I28" i="1"/>
  <c r="I6" i="1"/>
  <c r="F2" i="1"/>
  <c r="F122" i="1"/>
  <c r="F8" i="1"/>
  <c r="F16" i="1"/>
  <c r="F24" i="1"/>
  <c r="F32" i="1"/>
  <c r="F40" i="1"/>
  <c r="F48" i="1"/>
  <c r="F56" i="1"/>
  <c r="F64" i="1"/>
  <c r="F72" i="1"/>
  <c r="F80" i="1"/>
  <c r="F88" i="1"/>
  <c r="F96" i="1"/>
  <c r="F104" i="1"/>
  <c r="F112" i="1"/>
  <c r="F120" i="1"/>
  <c r="F128" i="1"/>
  <c r="F136" i="1"/>
  <c r="F144" i="1"/>
  <c r="F152" i="1"/>
  <c r="F160" i="1"/>
  <c r="F3" i="1"/>
  <c r="F11" i="1"/>
  <c r="F19" i="1"/>
  <c r="F27" i="1"/>
  <c r="F35" i="1"/>
  <c r="F43" i="1"/>
  <c r="F51" i="1"/>
  <c r="F59" i="1"/>
  <c r="F67" i="1"/>
  <c r="F75" i="1"/>
  <c r="F83" i="1"/>
  <c r="F91" i="1"/>
  <c r="F99" i="1"/>
  <c r="F107" i="1"/>
  <c r="F115" i="1"/>
  <c r="F123" i="1"/>
  <c r="F131" i="1"/>
  <c r="F139" i="1"/>
  <c r="F147" i="1"/>
  <c r="F155" i="1"/>
  <c r="F4" i="1"/>
  <c r="F12" i="1"/>
  <c r="F20" i="1"/>
  <c r="F28" i="1"/>
  <c r="F36" i="1"/>
  <c r="F44" i="1"/>
  <c r="F52" i="1"/>
  <c r="F60" i="1"/>
  <c r="F68" i="1"/>
  <c r="F76" i="1"/>
  <c r="F84" i="1"/>
  <c r="F92" i="1"/>
  <c r="F100" i="1"/>
  <c r="F108" i="1"/>
  <c r="F116" i="1"/>
  <c r="F124" i="1"/>
  <c r="F132" i="1"/>
  <c r="F140" i="1"/>
  <c r="F148" i="1"/>
  <c r="F156" i="1"/>
  <c r="F9" i="1"/>
  <c r="F22" i="1"/>
  <c r="F34" i="1"/>
  <c r="F47" i="1"/>
  <c r="F61" i="1"/>
  <c r="F73" i="1"/>
  <c r="F86" i="1"/>
  <c r="F98" i="1"/>
  <c r="F111" i="1"/>
  <c r="F125" i="1"/>
  <c r="F137" i="1"/>
  <c r="F150" i="1"/>
  <c r="F54" i="1"/>
  <c r="F130" i="1"/>
  <c r="F30" i="1"/>
  <c r="F69" i="1"/>
  <c r="F106" i="1"/>
  <c r="F145" i="1"/>
  <c r="F18" i="1"/>
  <c r="F57" i="1"/>
  <c r="F95" i="1"/>
  <c r="F134" i="1"/>
  <c r="F33" i="1"/>
  <c r="F71" i="1"/>
  <c r="F10" i="1"/>
  <c r="F23" i="1"/>
  <c r="F37" i="1"/>
  <c r="F49" i="1"/>
  <c r="F62" i="1"/>
  <c r="F74" i="1"/>
  <c r="F87" i="1"/>
  <c r="F101" i="1"/>
  <c r="F113" i="1"/>
  <c r="F126" i="1"/>
  <c r="F138" i="1"/>
  <c r="F151" i="1"/>
  <c r="F13" i="1"/>
  <c r="F25" i="1"/>
  <c r="F38" i="1"/>
  <c r="F50" i="1"/>
  <c r="F63" i="1"/>
  <c r="F77" i="1"/>
  <c r="F89" i="1"/>
  <c r="F102" i="1"/>
  <c r="F127" i="1"/>
  <c r="F141" i="1"/>
  <c r="F153" i="1"/>
  <c r="F15" i="1"/>
  <c r="F29" i="1"/>
  <c r="F41" i="1"/>
  <c r="F66" i="1"/>
  <c r="F93" i="1"/>
  <c r="F105" i="1"/>
  <c r="F143" i="1"/>
  <c r="F17" i="1"/>
  <c r="F55" i="1"/>
  <c r="F94" i="1"/>
  <c r="F133" i="1"/>
  <c r="F6" i="1"/>
  <c r="F45" i="1"/>
  <c r="F82" i="1"/>
  <c r="F121" i="1"/>
  <c r="F159" i="1"/>
  <c r="F21" i="1"/>
  <c r="F58" i="1"/>
  <c r="F114" i="1"/>
  <c r="F79" i="1"/>
  <c r="F118" i="1"/>
  <c r="F157" i="1"/>
  <c r="F5" i="1"/>
  <c r="F42" i="1"/>
  <c r="F81" i="1"/>
  <c r="F119" i="1"/>
  <c r="F158" i="1"/>
  <c r="F31" i="1"/>
  <c r="F70" i="1"/>
  <c r="F109" i="1"/>
  <c r="F146" i="1"/>
  <c r="F7" i="1"/>
  <c r="F46" i="1"/>
  <c r="F85" i="1"/>
  <c r="F14" i="1"/>
  <c r="F26" i="1"/>
  <c r="F39" i="1"/>
  <c r="F53" i="1"/>
  <c r="F65" i="1"/>
  <c r="F78" i="1"/>
  <c r="F90" i="1"/>
  <c r="F103" i="1"/>
  <c r="F117" i="1"/>
  <c r="F129" i="1"/>
  <c r="F142" i="1"/>
  <c r="F154" i="1"/>
  <c r="F149" i="1"/>
  <c r="F135" i="1"/>
  <c r="F97" i="1"/>
  <c r="H43" i="1"/>
  <c r="G152" i="1"/>
  <c r="G136" i="1"/>
  <c r="G117" i="1"/>
  <c r="G96" i="1"/>
  <c r="G74" i="1"/>
  <c r="G53" i="1"/>
  <c r="G32" i="1"/>
  <c r="G10" i="1"/>
  <c r="H147" i="1"/>
  <c r="H126" i="1"/>
  <c r="H104" i="1"/>
  <c r="H83" i="1"/>
  <c r="H62" i="1"/>
  <c r="H40" i="1"/>
  <c r="H19" i="1"/>
  <c r="H131" i="1"/>
  <c r="H88" i="1"/>
  <c r="H46" i="1"/>
  <c r="H3" i="1"/>
  <c r="G138" i="1"/>
  <c r="G98" i="1"/>
  <c r="G56" i="1"/>
  <c r="G13" i="1"/>
  <c r="H128" i="1"/>
  <c r="H86" i="1"/>
  <c r="H152" i="1"/>
  <c r="H110" i="1"/>
  <c r="H67" i="1"/>
  <c r="H24" i="1"/>
  <c r="G153" i="1"/>
  <c r="G120" i="1"/>
  <c r="G77" i="1"/>
  <c r="G34" i="1"/>
  <c r="H150" i="1"/>
  <c r="H107" i="1"/>
  <c r="H64" i="1"/>
  <c r="H2" i="1"/>
  <c r="G149" i="1"/>
  <c r="G133" i="1"/>
  <c r="G114" i="1"/>
  <c r="G93" i="1"/>
  <c r="G72" i="1"/>
  <c r="G50" i="1"/>
  <c r="G29" i="1"/>
  <c r="G8" i="1"/>
  <c r="H144" i="1"/>
  <c r="H123" i="1"/>
  <c r="H102" i="1"/>
  <c r="H80" i="1"/>
  <c r="H59" i="1"/>
  <c r="H38" i="1"/>
  <c r="H16" i="1"/>
  <c r="G2" i="1"/>
  <c r="G148" i="1"/>
  <c r="G132" i="1"/>
  <c r="G112" i="1"/>
  <c r="G90" i="1"/>
  <c r="G69" i="1"/>
  <c r="G48" i="1"/>
  <c r="G26" i="1"/>
  <c r="H142" i="1"/>
  <c r="H120" i="1"/>
  <c r="H99" i="1"/>
  <c r="H78" i="1"/>
  <c r="H56" i="1"/>
  <c r="H35" i="1"/>
  <c r="H7" i="1"/>
  <c r="H15" i="1"/>
  <c r="H23" i="1"/>
  <c r="H31" i="1"/>
  <c r="H39" i="1"/>
  <c r="H47" i="1"/>
  <c r="H55" i="1"/>
  <c r="H63" i="1"/>
  <c r="H71" i="1"/>
  <c r="H79" i="1"/>
  <c r="H87" i="1"/>
  <c r="H95" i="1"/>
  <c r="H103" i="1"/>
  <c r="H111" i="1"/>
  <c r="H119" i="1"/>
  <c r="H127" i="1"/>
  <c r="H135" i="1"/>
  <c r="H143" i="1"/>
  <c r="H151" i="1"/>
  <c r="H159" i="1"/>
  <c r="H9" i="1"/>
  <c r="H17" i="1"/>
  <c r="H25" i="1"/>
  <c r="H33" i="1"/>
  <c r="H41" i="1"/>
  <c r="H49" i="1"/>
  <c r="H57" i="1"/>
  <c r="H65" i="1"/>
  <c r="H73" i="1"/>
  <c r="H81" i="1"/>
  <c r="H89" i="1"/>
  <c r="H97" i="1"/>
  <c r="H105" i="1"/>
  <c r="H113" i="1"/>
  <c r="H121" i="1"/>
  <c r="H129" i="1"/>
  <c r="H137" i="1"/>
  <c r="H145" i="1"/>
  <c r="H153" i="1"/>
  <c r="H10" i="1"/>
  <c r="H18" i="1"/>
  <c r="H26" i="1"/>
  <c r="H34" i="1"/>
  <c r="H42" i="1"/>
  <c r="H50" i="1"/>
  <c r="H58" i="1"/>
  <c r="H66" i="1"/>
  <c r="H74" i="1"/>
  <c r="H82" i="1"/>
  <c r="H90" i="1"/>
  <c r="H98" i="1"/>
  <c r="H106" i="1"/>
  <c r="H114" i="1"/>
  <c r="H122" i="1"/>
  <c r="H130" i="1"/>
  <c r="H138" i="1"/>
  <c r="H146" i="1"/>
  <c r="H154" i="1"/>
  <c r="H4" i="1"/>
  <c r="H12" i="1"/>
  <c r="H20" i="1"/>
  <c r="H28" i="1"/>
  <c r="H36" i="1"/>
  <c r="H44" i="1"/>
  <c r="H52" i="1"/>
  <c r="H60" i="1"/>
  <c r="H68" i="1"/>
  <c r="H76" i="1"/>
  <c r="H84" i="1"/>
  <c r="H92" i="1"/>
  <c r="H100" i="1"/>
  <c r="H108" i="1"/>
  <c r="H116" i="1"/>
  <c r="H124" i="1"/>
  <c r="H132" i="1"/>
  <c r="H140" i="1"/>
  <c r="H148" i="1"/>
  <c r="H156" i="1"/>
  <c r="H5" i="1"/>
  <c r="H13" i="1"/>
  <c r="H21" i="1"/>
  <c r="H29" i="1"/>
  <c r="H37" i="1"/>
  <c r="H45" i="1"/>
  <c r="H53" i="1"/>
  <c r="H61" i="1"/>
  <c r="H69" i="1"/>
  <c r="H77" i="1"/>
  <c r="H85" i="1"/>
  <c r="H93" i="1"/>
  <c r="H101" i="1"/>
  <c r="H109" i="1"/>
  <c r="H117" i="1"/>
  <c r="H125" i="1"/>
  <c r="H133" i="1"/>
  <c r="H141" i="1"/>
  <c r="H149" i="1"/>
  <c r="H157" i="1"/>
  <c r="G9" i="1"/>
  <c r="G17" i="1"/>
  <c r="G25" i="1"/>
  <c r="G33" i="1"/>
  <c r="G41" i="1"/>
  <c r="G49" i="1"/>
  <c r="G57" i="1"/>
  <c r="G65" i="1"/>
  <c r="G73" i="1"/>
  <c r="G81" i="1"/>
  <c r="G89" i="1"/>
  <c r="G97" i="1"/>
  <c r="G105" i="1"/>
  <c r="G113" i="1"/>
  <c r="G121" i="1"/>
  <c r="G129" i="1"/>
  <c r="G137" i="1"/>
  <c r="G145" i="1"/>
  <c r="G3" i="1"/>
  <c r="G11" i="1"/>
  <c r="G19" i="1"/>
  <c r="G27" i="1"/>
  <c r="G35" i="1"/>
  <c r="G43" i="1"/>
  <c r="G51" i="1"/>
  <c r="G59" i="1"/>
  <c r="G67" i="1"/>
  <c r="G75" i="1"/>
  <c r="G83" i="1"/>
  <c r="G91" i="1"/>
  <c r="G99" i="1"/>
  <c r="G107" i="1"/>
  <c r="G115" i="1"/>
  <c r="G123" i="1"/>
  <c r="G131" i="1"/>
  <c r="G139" i="1"/>
  <c r="G147" i="1"/>
  <c r="G155" i="1"/>
  <c r="G28" i="1"/>
  <c r="G84" i="1"/>
  <c r="G100" i="1"/>
  <c r="G116" i="1"/>
  <c r="G4" i="1"/>
  <c r="G12" i="1"/>
  <c r="G20" i="1"/>
  <c r="G36" i="1"/>
  <c r="G44" i="1"/>
  <c r="G52" i="1"/>
  <c r="G60" i="1"/>
  <c r="G68" i="1"/>
  <c r="G76" i="1"/>
  <c r="G92" i="1"/>
  <c r="G108" i="1"/>
  <c r="G124" i="1"/>
  <c r="G6" i="1"/>
  <c r="G14" i="1"/>
  <c r="AK14" i="1" s="1"/>
  <c r="AL14" i="1" s="1"/>
  <c r="G22" i="1"/>
  <c r="G30" i="1"/>
  <c r="G38" i="1"/>
  <c r="G46" i="1"/>
  <c r="G54" i="1"/>
  <c r="G62" i="1"/>
  <c r="G70" i="1"/>
  <c r="G78" i="1"/>
  <c r="G86" i="1"/>
  <c r="G94" i="1"/>
  <c r="G102" i="1"/>
  <c r="G110" i="1"/>
  <c r="G118" i="1"/>
  <c r="G126" i="1"/>
  <c r="G134" i="1"/>
  <c r="G142" i="1"/>
  <c r="G150" i="1"/>
  <c r="G158" i="1"/>
  <c r="G7" i="1"/>
  <c r="G15" i="1"/>
  <c r="G23" i="1"/>
  <c r="G31" i="1"/>
  <c r="G39" i="1"/>
  <c r="G47" i="1"/>
  <c r="G55" i="1"/>
  <c r="G63" i="1"/>
  <c r="G71" i="1"/>
  <c r="G79" i="1"/>
  <c r="G87" i="1"/>
  <c r="G95" i="1"/>
  <c r="G103" i="1"/>
  <c r="G111" i="1"/>
  <c r="G119" i="1"/>
  <c r="G127" i="1"/>
  <c r="G135" i="1"/>
  <c r="G143" i="1"/>
  <c r="G151" i="1"/>
  <c r="G159" i="1"/>
  <c r="G160" i="1"/>
  <c r="G146" i="1"/>
  <c r="G130" i="1"/>
  <c r="G109" i="1"/>
  <c r="G88" i="1"/>
  <c r="G66" i="1"/>
  <c r="G45" i="1"/>
  <c r="G24" i="1"/>
  <c r="H160" i="1"/>
  <c r="H139" i="1"/>
  <c r="H118" i="1"/>
  <c r="H96" i="1"/>
  <c r="H75" i="1"/>
  <c r="H54" i="1"/>
  <c r="H32" i="1"/>
  <c r="H11" i="1"/>
  <c r="I155" i="1"/>
  <c r="I147" i="1"/>
  <c r="I139" i="1"/>
  <c r="I131" i="1"/>
  <c r="I123" i="1"/>
  <c r="I115" i="1"/>
  <c r="I107" i="1"/>
  <c r="I99" i="1"/>
  <c r="I91" i="1"/>
  <c r="I83" i="1"/>
  <c r="I75" i="1"/>
  <c r="I67" i="1"/>
  <c r="I59" i="1"/>
  <c r="I51" i="1"/>
  <c r="I43" i="1"/>
  <c r="I35" i="1"/>
  <c r="I27" i="1"/>
  <c r="I19" i="1"/>
  <c r="I11" i="1"/>
  <c r="I3" i="1"/>
  <c r="I154" i="1"/>
  <c r="I146" i="1"/>
  <c r="I138" i="1"/>
  <c r="I130" i="1"/>
  <c r="I122" i="1"/>
  <c r="I114" i="1"/>
  <c r="I106" i="1"/>
  <c r="I98" i="1"/>
  <c r="I90" i="1"/>
  <c r="I82" i="1"/>
  <c r="I74" i="1"/>
  <c r="I66" i="1"/>
  <c r="I58" i="1"/>
  <c r="I50" i="1"/>
  <c r="I42" i="1"/>
  <c r="I34" i="1"/>
  <c r="I26" i="1"/>
  <c r="I18" i="1"/>
  <c r="I10" i="1"/>
  <c r="I160" i="1"/>
  <c r="I152" i="1"/>
  <c r="I144" i="1"/>
  <c r="I136" i="1"/>
  <c r="I128" i="1"/>
  <c r="I120" i="1"/>
  <c r="I112" i="1"/>
  <c r="I104" i="1"/>
  <c r="I96" i="1"/>
  <c r="I88" i="1"/>
  <c r="I80" i="1"/>
  <c r="I72" i="1"/>
  <c r="I64" i="1"/>
  <c r="I56" i="1"/>
  <c r="I48" i="1"/>
  <c r="I40" i="1"/>
  <c r="I32" i="1"/>
  <c r="I24" i="1"/>
  <c r="I16" i="1"/>
  <c r="I8" i="1"/>
  <c r="I2" i="1"/>
  <c r="I159" i="1"/>
  <c r="I151" i="1"/>
  <c r="I143" i="1"/>
  <c r="I135" i="1"/>
  <c r="I127" i="1"/>
  <c r="I119" i="1"/>
  <c r="I111" i="1"/>
  <c r="I103" i="1"/>
  <c r="I95" i="1"/>
  <c r="I87" i="1"/>
  <c r="I79" i="1"/>
  <c r="I71" i="1"/>
  <c r="I63" i="1"/>
  <c r="I55" i="1"/>
  <c r="I47" i="1"/>
  <c r="I39" i="1"/>
  <c r="I31" i="1"/>
  <c r="I23" i="1"/>
  <c r="I15" i="1"/>
  <c r="I7" i="1"/>
  <c r="I157" i="1"/>
  <c r="I149" i="1"/>
  <c r="I141" i="1"/>
  <c r="I133" i="1"/>
  <c r="I125" i="1"/>
  <c r="I117" i="1"/>
  <c r="I109" i="1"/>
  <c r="I101" i="1"/>
  <c r="I93" i="1"/>
  <c r="I85" i="1"/>
  <c r="I77" i="1"/>
  <c r="I69" i="1"/>
  <c r="I61" i="1"/>
  <c r="I53" i="1"/>
  <c r="I45" i="1"/>
  <c r="I37" i="1"/>
  <c r="I29" i="1"/>
  <c r="I21" i="1"/>
  <c r="I13" i="1"/>
  <c r="AK118" i="1" l="1"/>
  <c r="AL118" i="1" s="1"/>
  <c r="AK76" i="1"/>
  <c r="AL76" i="1" s="1"/>
  <c r="AK4" i="1"/>
  <c r="AL4" i="1" s="1"/>
  <c r="AK158" i="1"/>
  <c r="AL158" i="1" s="1"/>
  <c r="AK94" i="1"/>
  <c r="AL94" i="1" s="1"/>
  <c r="AK110" i="1"/>
  <c r="AL110" i="1" s="1"/>
  <c r="AK46" i="1"/>
  <c r="AL46" i="1" s="1"/>
  <c r="AK97" i="1"/>
  <c r="AL97" i="1" s="1"/>
  <c r="AK38" i="1"/>
  <c r="AL38" i="1" s="1"/>
  <c r="AK52" i="1"/>
  <c r="AL52" i="1" s="1"/>
  <c r="AK108" i="1"/>
  <c r="AL108" i="1" s="1"/>
  <c r="AK20" i="1"/>
  <c r="AL20" i="1" s="1"/>
  <c r="AK105" i="1"/>
  <c r="AL105" i="1" s="1"/>
  <c r="AK41" i="1"/>
  <c r="AL41" i="1" s="1"/>
  <c r="AK116" i="1"/>
  <c r="AL116" i="1" s="1"/>
  <c r="AK92" i="1"/>
  <c r="AL92" i="1" s="1"/>
  <c r="AK12" i="1"/>
  <c r="AL12" i="1" s="1"/>
  <c r="AK33" i="1"/>
  <c r="AL33" i="1" s="1"/>
  <c r="AK146" i="1"/>
  <c r="AL146" i="1" s="1"/>
  <c r="AK142" i="1"/>
  <c r="AL142" i="1" s="1"/>
  <c r="AK78" i="1"/>
  <c r="AL78" i="1" s="1"/>
  <c r="AK129" i="1"/>
  <c r="AL129" i="1" s="1"/>
  <c r="AK65" i="1"/>
  <c r="AL65" i="1" s="1"/>
  <c r="AK121" i="1"/>
  <c r="AL121" i="1" s="1"/>
  <c r="AK57" i="1"/>
  <c r="AL57" i="1" s="1"/>
  <c r="AK151" i="1"/>
  <c r="AL151" i="1" s="1"/>
  <c r="AK87" i="1"/>
  <c r="AL87" i="1" s="1"/>
  <c r="AK23" i="1"/>
  <c r="AL23" i="1" s="1"/>
  <c r="AK54" i="1"/>
  <c r="AL54" i="1" s="1"/>
  <c r="AK147" i="1"/>
  <c r="AL147" i="1" s="1"/>
  <c r="AK83" i="1"/>
  <c r="AL83" i="1" s="1"/>
  <c r="AK19" i="1"/>
  <c r="AL19" i="1" s="1"/>
  <c r="AK90" i="1"/>
  <c r="AL90" i="1" s="1"/>
  <c r="AK93" i="1"/>
  <c r="AL93" i="1" s="1"/>
  <c r="AK34" i="1"/>
  <c r="AL34" i="1" s="1"/>
  <c r="AK152" i="1"/>
  <c r="AL152" i="1" s="1"/>
  <c r="AK58" i="1"/>
  <c r="AL58" i="1" s="1"/>
  <c r="AK37" i="1"/>
  <c r="AL37" i="1" s="1"/>
  <c r="AK135" i="1"/>
  <c r="AL135" i="1" s="1"/>
  <c r="AK71" i="1"/>
  <c r="AL71" i="1" s="1"/>
  <c r="AK7" i="1"/>
  <c r="AL7" i="1" s="1"/>
  <c r="AK102" i="1"/>
  <c r="AL102" i="1" s="1"/>
  <c r="AK131" i="1"/>
  <c r="AL131" i="1" s="1"/>
  <c r="AK67" i="1"/>
  <c r="AL67" i="1" s="1"/>
  <c r="AK3" i="1"/>
  <c r="AL3" i="1" s="1"/>
  <c r="AK132" i="1"/>
  <c r="AL132" i="1" s="1"/>
  <c r="AK13" i="1"/>
  <c r="AL13" i="1" s="1"/>
  <c r="AK42" i="1"/>
  <c r="AL42" i="1" s="1"/>
  <c r="AK156" i="1"/>
  <c r="AL156" i="1" s="1"/>
  <c r="AK16" i="1"/>
  <c r="AL16" i="1" s="1"/>
  <c r="AK141" i="1"/>
  <c r="AL141" i="1" s="1"/>
  <c r="AK127" i="1"/>
  <c r="AL127" i="1" s="1"/>
  <c r="AK68" i="1"/>
  <c r="AL68" i="1" s="1"/>
  <c r="AK145" i="1"/>
  <c r="AL145" i="1" s="1"/>
  <c r="AK81" i="1"/>
  <c r="AL81" i="1" s="1"/>
  <c r="AK17" i="1"/>
  <c r="AL17" i="1" s="1"/>
  <c r="AK150" i="1"/>
  <c r="AL150" i="1" s="1"/>
  <c r="AK22" i="1"/>
  <c r="AL22" i="1" s="1"/>
  <c r="AK28" i="1"/>
  <c r="AL28" i="1" s="1"/>
  <c r="AK124" i="1"/>
  <c r="AL124" i="1" s="1"/>
  <c r="AK113" i="1"/>
  <c r="AL113" i="1" s="1"/>
  <c r="AK80" i="1"/>
  <c r="AL80" i="1" s="1"/>
  <c r="AK66" i="1"/>
  <c r="AL66" i="1" s="1"/>
  <c r="AK143" i="1"/>
  <c r="AL143" i="1" s="1"/>
  <c r="AK79" i="1"/>
  <c r="AL79" i="1" s="1"/>
  <c r="AK15" i="1"/>
  <c r="AL15" i="1" s="1"/>
  <c r="AK139" i="1"/>
  <c r="AL139" i="1" s="1"/>
  <c r="AK75" i="1"/>
  <c r="AL75" i="1" s="1"/>
  <c r="AK11" i="1"/>
  <c r="AL11" i="1" s="1"/>
  <c r="AK112" i="1"/>
  <c r="AL112" i="1" s="1"/>
  <c r="AK114" i="1"/>
  <c r="AL114" i="1" s="1"/>
  <c r="AK77" i="1"/>
  <c r="AL77" i="1" s="1"/>
  <c r="AK10" i="1"/>
  <c r="AL10" i="1" s="1"/>
  <c r="AK106" i="1"/>
  <c r="AL106" i="1" s="1"/>
  <c r="AK128" i="1"/>
  <c r="AL128" i="1" s="1"/>
  <c r="AK85" i="1"/>
  <c r="AL85" i="1" s="1"/>
  <c r="AK5" i="1"/>
  <c r="AL5" i="1" s="1"/>
  <c r="AK88" i="1"/>
  <c r="AL88" i="1" s="1"/>
  <c r="AK89" i="1"/>
  <c r="AL89" i="1" s="1"/>
  <c r="AK120" i="1"/>
  <c r="AL120" i="1" s="1"/>
  <c r="AK63" i="1"/>
  <c r="AL63" i="1" s="1"/>
  <c r="AK30" i="1"/>
  <c r="AL30" i="1" s="1"/>
  <c r="AK123" i="1"/>
  <c r="AL123" i="1" s="1"/>
  <c r="AK59" i="1"/>
  <c r="AL59" i="1" s="1"/>
  <c r="AK148" i="1"/>
  <c r="AL148" i="1" s="1"/>
  <c r="AK149" i="1"/>
  <c r="AL149" i="1" s="1"/>
  <c r="AK153" i="1"/>
  <c r="AL153" i="1" s="1"/>
  <c r="AK56" i="1"/>
  <c r="AL56" i="1" s="1"/>
  <c r="AK53" i="1"/>
  <c r="AL53" i="1" s="1"/>
  <c r="AK104" i="1"/>
  <c r="AL104" i="1" s="1"/>
  <c r="AK64" i="1"/>
  <c r="AL64" i="1" s="1"/>
  <c r="AK109" i="1"/>
  <c r="AL109" i="1" s="1"/>
  <c r="AK130" i="1"/>
  <c r="AL130" i="1" s="1"/>
  <c r="AK119" i="1"/>
  <c r="AL119" i="1" s="1"/>
  <c r="AK55" i="1"/>
  <c r="AL55" i="1" s="1"/>
  <c r="AK86" i="1"/>
  <c r="AL86" i="1" s="1"/>
  <c r="AK60" i="1"/>
  <c r="AL60" i="1" s="1"/>
  <c r="AK100" i="1"/>
  <c r="AL100" i="1" s="1"/>
  <c r="AK115" i="1"/>
  <c r="AL115" i="1" s="1"/>
  <c r="AK51" i="1"/>
  <c r="AL51" i="1" s="1"/>
  <c r="AK137" i="1"/>
  <c r="AL137" i="1" s="1"/>
  <c r="AK73" i="1"/>
  <c r="AL73" i="1" s="1"/>
  <c r="AK9" i="1"/>
  <c r="AL9" i="1" s="1"/>
  <c r="AK2" i="1"/>
  <c r="AL2" i="1" s="1"/>
  <c r="AK8" i="1"/>
  <c r="AL8" i="1" s="1"/>
  <c r="AK98" i="1"/>
  <c r="AL98" i="1" s="1"/>
  <c r="AK74" i="1"/>
  <c r="AL74" i="1" s="1"/>
  <c r="AK154" i="1"/>
  <c r="AL154" i="1" s="1"/>
  <c r="AK125" i="1"/>
  <c r="AL125" i="1" s="1"/>
  <c r="AK21" i="1"/>
  <c r="AL21" i="1" s="1"/>
  <c r="AK45" i="1"/>
  <c r="AL45" i="1" s="1"/>
  <c r="AK25" i="1"/>
  <c r="AL25" i="1" s="1"/>
  <c r="AK32" i="1"/>
  <c r="AL32" i="1" s="1"/>
  <c r="AK111" i="1"/>
  <c r="AL111" i="1" s="1"/>
  <c r="AK47" i="1"/>
  <c r="AL47" i="1" s="1"/>
  <c r="AK84" i="1"/>
  <c r="AL84" i="1" s="1"/>
  <c r="Z107" i="1"/>
  <c r="AA107" i="1" s="1"/>
  <c r="AK107" i="1"/>
  <c r="AL107" i="1" s="1"/>
  <c r="AK43" i="1"/>
  <c r="AL43" i="1" s="1"/>
  <c r="AK26" i="1"/>
  <c r="AL26" i="1" s="1"/>
  <c r="AK29" i="1"/>
  <c r="AL29" i="1" s="1"/>
  <c r="AK138" i="1"/>
  <c r="AL138" i="1" s="1"/>
  <c r="AK96" i="1"/>
  <c r="AL96" i="1" s="1"/>
  <c r="AK61" i="1"/>
  <c r="AL61" i="1" s="1"/>
  <c r="AK144" i="1"/>
  <c r="AL144" i="1" s="1"/>
  <c r="AK82" i="1"/>
  <c r="AL82" i="1" s="1"/>
  <c r="AK40" i="1"/>
  <c r="AL40" i="1" s="1"/>
  <c r="AK160" i="1"/>
  <c r="AL160" i="1" s="1"/>
  <c r="AK103" i="1"/>
  <c r="AL103" i="1" s="1"/>
  <c r="AK39" i="1"/>
  <c r="AL39" i="1" s="1"/>
  <c r="Z134" i="1"/>
  <c r="AA134" i="1" s="1"/>
  <c r="AK134" i="1"/>
  <c r="AL134" i="1" s="1"/>
  <c r="Z70" i="1"/>
  <c r="AA70" i="1" s="1"/>
  <c r="AK70" i="1"/>
  <c r="AL70" i="1" s="1"/>
  <c r="AK6" i="1"/>
  <c r="AL6" i="1" s="1"/>
  <c r="AK44" i="1"/>
  <c r="AL44" i="1" s="1"/>
  <c r="AK99" i="1"/>
  <c r="AL99" i="1" s="1"/>
  <c r="AK35" i="1"/>
  <c r="AL35" i="1" s="1"/>
  <c r="AK48" i="1"/>
  <c r="AL48" i="1" s="1"/>
  <c r="AK50" i="1"/>
  <c r="AL50" i="1" s="1"/>
  <c r="AK117" i="1"/>
  <c r="AL117" i="1" s="1"/>
  <c r="AK101" i="1"/>
  <c r="AL101" i="1" s="1"/>
  <c r="AK122" i="1"/>
  <c r="AL122" i="1" s="1"/>
  <c r="AK140" i="1"/>
  <c r="AL140" i="1" s="1"/>
  <c r="AK133" i="1"/>
  <c r="AL133" i="1" s="1"/>
  <c r="AK24" i="1"/>
  <c r="AL24" i="1" s="1"/>
  <c r="Z159" i="1"/>
  <c r="AA159" i="1" s="1"/>
  <c r="AK159" i="1"/>
  <c r="AL159" i="1" s="1"/>
  <c r="Z95" i="1"/>
  <c r="AA95" i="1" s="1"/>
  <c r="AK95" i="1"/>
  <c r="AL95" i="1" s="1"/>
  <c r="Z31" i="1"/>
  <c r="AA31" i="1" s="1"/>
  <c r="AK31" i="1"/>
  <c r="AL31" i="1" s="1"/>
  <c r="Z126" i="1"/>
  <c r="AA126" i="1" s="1"/>
  <c r="AK126" i="1"/>
  <c r="AL126" i="1" s="1"/>
  <c r="Z62" i="1"/>
  <c r="AA62" i="1" s="1"/>
  <c r="AK62" i="1"/>
  <c r="AL62" i="1" s="1"/>
  <c r="Z36" i="1"/>
  <c r="AA36" i="1" s="1"/>
  <c r="AK36" i="1"/>
  <c r="AL36" i="1" s="1"/>
  <c r="AK155" i="1"/>
  <c r="AL155" i="1" s="1"/>
  <c r="AK91" i="1"/>
  <c r="AL91" i="1" s="1"/>
  <c r="AK27" i="1"/>
  <c r="AL27" i="1" s="1"/>
  <c r="AK49" i="1"/>
  <c r="AL49" i="1" s="1"/>
  <c r="AK69" i="1"/>
  <c r="AL69" i="1" s="1"/>
  <c r="AK72" i="1"/>
  <c r="AL72" i="1" s="1"/>
  <c r="AK136" i="1"/>
  <c r="AL136" i="1" s="1"/>
  <c r="AK157" i="1"/>
  <c r="AL157" i="1" s="1"/>
  <c r="AK18" i="1"/>
  <c r="AL18" i="1" s="1"/>
  <c r="Z124" i="1"/>
  <c r="AA124" i="1" s="1"/>
  <c r="Z155" i="1"/>
  <c r="AA155" i="1" s="1"/>
  <c r="Z113" i="1"/>
  <c r="AA113" i="1" s="1"/>
  <c r="Z12" i="1"/>
  <c r="AA12" i="1" s="1"/>
  <c r="Z158" i="1"/>
  <c r="AA158" i="1" s="1"/>
  <c r="Z24" i="1"/>
  <c r="AA24" i="1" s="1"/>
  <c r="Z91" i="1"/>
  <c r="AA91" i="1" s="1"/>
  <c r="Z49" i="1"/>
  <c r="AA49" i="1" s="1"/>
  <c r="Z94" i="1"/>
  <c r="AA94" i="1" s="1"/>
  <c r="Z27" i="1"/>
  <c r="AA27" i="1" s="1"/>
  <c r="Z69" i="1"/>
  <c r="AA69" i="1" s="1"/>
  <c r="Z136" i="1"/>
  <c r="AA136" i="1" s="1"/>
  <c r="Z157" i="1"/>
  <c r="AA157" i="1" s="1"/>
  <c r="Z18" i="1"/>
  <c r="AA18" i="1" s="1"/>
  <c r="Z151" i="1"/>
  <c r="AA151" i="1" s="1"/>
  <c r="Z87" i="1"/>
  <c r="AA87" i="1" s="1"/>
  <c r="Z23" i="1"/>
  <c r="AA23" i="1" s="1"/>
  <c r="Z118" i="1"/>
  <c r="AA118" i="1" s="1"/>
  <c r="Z54" i="1"/>
  <c r="AA54" i="1" s="1"/>
  <c r="Z20" i="1"/>
  <c r="AA20" i="1" s="1"/>
  <c r="Z41" i="1"/>
  <c r="AA41" i="1" s="1"/>
  <c r="Z34" i="1"/>
  <c r="AA34" i="1" s="1"/>
  <c r="Z58" i="1"/>
  <c r="AA58" i="1" s="1"/>
  <c r="Z88" i="1"/>
  <c r="AA88" i="1" s="1"/>
  <c r="Z131" i="1"/>
  <c r="AA131" i="1" s="1"/>
  <c r="Z81" i="1"/>
  <c r="AA81" i="1" s="1"/>
  <c r="Z102" i="1"/>
  <c r="AA102" i="1" s="1"/>
  <c r="Z116" i="1"/>
  <c r="AA116" i="1" s="1"/>
  <c r="Z145" i="1"/>
  <c r="AA145" i="1" s="1"/>
  <c r="Z17" i="1"/>
  <c r="AA17" i="1" s="1"/>
  <c r="Z146" i="1"/>
  <c r="AA146" i="1" s="1"/>
  <c r="Z14" i="1"/>
  <c r="AA14" i="1" s="1"/>
  <c r="Z43" i="1"/>
  <c r="AA43" i="1" s="1"/>
  <c r="Z65" i="1"/>
  <c r="AA65" i="1" s="1"/>
  <c r="Z82" i="1"/>
  <c r="AA82" i="1" s="1"/>
  <c r="Z28" i="1"/>
  <c r="AA28" i="1" s="1"/>
  <c r="Z147" i="1"/>
  <c r="AA147" i="1" s="1"/>
  <c r="Z83" i="1"/>
  <c r="AA83" i="1" s="1"/>
  <c r="Z19" i="1"/>
  <c r="AA19" i="1" s="1"/>
  <c r="Z105" i="1"/>
  <c r="AA105" i="1" s="1"/>
  <c r="Z90" i="1"/>
  <c r="AA90" i="1" s="1"/>
  <c r="Z93" i="1"/>
  <c r="AA93" i="1" s="1"/>
  <c r="Z152" i="1"/>
  <c r="AA152" i="1" s="1"/>
  <c r="Z80" i="1"/>
  <c r="AA80" i="1" s="1"/>
  <c r="Z37" i="1"/>
  <c r="AA37" i="1" s="1"/>
  <c r="Z66" i="1"/>
  <c r="AA66" i="1" s="1"/>
  <c r="Z143" i="1"/>
  <c r="AA143" i="1" s="1"/>
  <c r="Z79" i="1"/>
  <c r="AA79" i="1" s="1"/>
  <c r="Z15" i="1"/>
  <c r="AA15" i="1" s="1"/>
  <c r="Z110" i="1"/>
  <c r="AA110" i="1" s="1"/>
  <c r="Z46" i="1"/>
  <c r="AA46" i="1" s="1"/>
  <c r="S92" i="1"/>
  <c r="T92" i="1" s="1"/>
  <c r="Z92" i="1"/>
  <c r="AA92" i="1" s="1"/>
  <c r="Z139" i="1"/>
  <c r="AA139" i="1" s="1"/>
  <c r="Z75" i="1"/>
  <c r="AA75" i="1" s="1"/>
  <c r="Z11" i="1"/>
  <c r="AA11" i="1" s="1"/>
  <c r="Z97" i="1"/>
  <c r="AA97" i="1" s="1"/>
  <c r="Z33" i="1"/>
  <c r="AA33" i="1" s="1"/>
  <c r="Z112" i="1"/>
  <c r="AA112" i="1" s="1"/>
  <c r="Z114" i="1"/>
  <c r="AA114" i="1" s="1"/>
  <c r="Z77" i="1"/>
  <c r="AA77" i="1" s="1"/>
  <c r="Z10" i="1"/>
  <c r="AA10" i="1" s="1"/>
  <c r="Z106" i="1"/>
  <c r="AA106" i="1" s="1"/>
  <c r="Z128" i="1"/>
  <c r="AA128" i="1" s="1"/>
  <c r="Z85" i="1"/>
  <c r="AA85" i="1" s="1"/>
  <c r="Z5" i="1"/>
  <c r="AA5" i="1" s="1"/>
  <c r="S72" i="1"/>
  <c r="T72" i="1" s="1"/>
  <c r="Z72" i="1"/>
  <c r="AA72" i="1" s="1"/>
  <c r="Z71" i="1"/>
  <c r="AA71" i="1" s="1"/>
  <c r="Z7" i="1"/>
  <c r="AA7" i="1" s="1"/>
  <c r="Z38" i="1"/>
  <c r="AA38" i="1" s="1"/>
  <c r="S3" i="1"/>
  <c r="T3" i="1" s="1"/>
  <c r="Z3" i="1"/>
  <c r="AA3" i="1" s="1"/>
  <c r="Z25" i="1"/>
  <c r="AA25" i="1" s="1"/>
  <c r="S132" i="1"/>
  <c r="T132" i="1" s="1"/>
  <c r="Z132" i="1"/>
  <c r="AA132" i="1" s="1"/>
  <c r="Z120" i="1"/>
  <c r="AA120" i="1" s="1"/>
  <c r="Z156" i="1"/>
  <c r="AA156" i="1" s="1"/>
  <c r="Z141" i="1"/>
  <c r="AA141" i="1" s="1"/>
  <c r="Z109" i="1"/>
  <c r="AA109" i="1" s="1"/>
  <c r="Z63" i="1"/>
  <c r="AA63" i="1" s="1"/>
  <c r="Z30" i="1"/>
  <c r="AA30" i="1" s="1"/>
  <c r="Z68" i="1"/>
  <c r="AA68" i="1" s="1"/>
  <c r="Z123" i="1"/>
  <c r="AA123" i="1" s="1"/>
  <c r="Z59" i="1"/>
  <c r="AA59" i="1" s="1"/>
  <c r="Z148" i="1"/>
  <c r="AA148" i="1" s="1"/>
  <c r="Z149" i="1"/>
  <c r="AA149" i="1" s="1"/>
  <c r="Z153" i="1"/>
  <c r="AA153" i="1" s="1"/>
  <c r="Z56" i="1"/>
  <c r="AA56" i="1" s="1"/>
  <c r="Z53" i="1"/>
  <c r="AA53" i="1" s="1"/>
  <c r="Z104" i="1"/>
  <c r="AA104" i="1" s="1"/>
  <c r="Z64" i="1"/>
  <c r="AA64" i="1" s="1"/>
  <c r="Z45" i="1"/>
  <c r="AA45" i="1" s="1"/>
  <c r="Z108" i="1"/>
  <c r="AA108" i="1" s="1"/>
  <c r="Z135" i="1"/>
  <c r="AA135" i="1" s="1"/>
  <c r="S76" i="1"/>
  <c r="T76" i="1" s="1"/>
  <c r="Z76" i="1"/>
  <c r="AA76" i="1" s="1"/>
  <c r="S4" i="1"/>
  <c r="T4" i="1" s="1"/>
  <c r="Z4" i="1"/>
  <c r="AA4" i="1" s="1"/>
  <c r="Z67" i="1"/>
  <c r="AA67" i="1" s="1"/>
  <c r="Z89" i="1"/>
  <c r="AA89" i="1" s="1"/>
  <c r="Z133" i="1"/>
  <c r="AA133" i="1" s="1"/>
  <c r="Z13" i="1"/>
  <c r="AA13" i="1" s="1"/>
  <c r="Z32" i="1"/>
  <c r="AA32" i="1" s="1"/>
  <c r="S42" i="1"/>
  <c r="T42" i="1" s="1"/>
  <c r="Z42" i="1"/>
  <c r="AA42" i="1" s="1"/>
  <c r="Z16" i="1"/>
  <c r="AA16" i="1" s="1"/>
  <c r="Z40" i="1"/>
  <c r="AA40" i="1" s="1"/>
  <c r="Z127" i="1"/>
  <c r="AA127" i="1" s="1"/>
  <c r="Z130" i="1"/>
  <c r="AA130" i="1" s="1"/>
  <c r="Z119" i="1"/>
  <c r="AA119" i="1" s="1"/>
  <c r="Z55" i="1"/>
  <c r="AA55" i="1" s="1"/>
  <c r="Z150" i="1"/>
  <c r="AA150" i="1" s="1"/>
  <c r="Z86" i="1"/>
  <c r="AA86" i="1" s="1"/>
  <c r="Z22" i="1"/>
  <c r="AA22" i="1" s="1"/>
  <c r="Z60" i="1"/>
  <c r="AA60" i="1" s="1"/>
  <c r="Z100" i="1"/>
  <c r="AA100" i="1" s="1"/>
  <c r="Z115" i="1"/>
  <c r="AA115" i="1" s="1"/>
  <c r="Z51" i="1"/>
  <c r="AA51" i="1" s="1"/>
  <c r="Z137" i="1"/>
  <c r="AA137" i="1" s="1"/>
  <c r="Z73" i="1"/>
  <c r="AA73" i="1" s="1"/>
  <c r="Z9" i="1"/>
  <c r="AA9" i="1" s="1"/>
  <c r="Z2" i="1"/>
  <c r="AA2" i="1" s="1"/>
  <c r="Z8" i="1"/>
  <c r="AA8" i="1" s="1"/>
  <c r="Z98" i="1"/>
  <c r="AA98" i="1" s="1"/>
  <c r="Z74" i="1"/>
  <c r="AA74" i="1" s="1"/>
  <c r="Z154" i="1"/>
  <c r="AA154" i="1" s="1"/>
  <c r="Z125" i="1"/>
  <c r="AA125" i="1" s="1"/>
  <c r="Z21" i="1"/>
  <c r="AA21" i="1" s="1"/>
  <c r="S111" i="1"/>
  <c r="T111" i="1" s="1"/>
  <c r="Z111" i="1"/>
  <c r="AA111" i="1" s="1"/>
  <c r="S47" i="1"/>
  <c r="T47" i="1" s="1"/>
  <c r="Z47" i="1"/>
  <c r="AA47" i="1" s="1"/>
  <c r="Z142" i="1"/>
  <c r="AA142" i="1" s="1"/>
  <c r="S78" i="1"/>
  <c r="T78" i="1" s="1"/>
  <c r="Z78" i="1"/>
  <c r="AA78" i="1" s="1"/>
  <c r="S52" i="1"/>
  <c r="T52" i="1" s="1"/>
  <c r="Z52" i="1"/>
  <c r="AA52" i="1" s="1"/>
  <c r="S84" i="1"/>
  <c r="T84" i="1" s="1"/>
  <c r="Z84" i="1"/>
  <c r="AA84" i="1" s="1"/>
  <c r="S129" i="1"/>
  <c r="T129" i="1" s="1"/>
  <c r="Z129" i="1"/>
  <c r="AA129" i="1" s="1"/>
  <c r="Z26" i="1"/>
  <c r="AA26" i="1" s="1"/>
  <c r="Z29" i="1"/>
  <c r="AA29" i="1" s="1"/>
  <c r="Z138" i="1"/>
  <c r="AA138" i="1" s="1"/>
  <c r="Z96" i="1"/>
  <c r="AA96" i="1" s="1"/>
  <c r="Z61" i="1"/>
  <c r="AA61" i="1" s="1"/>
  <c r="Z144" i="1"/>
  <c r="AA144" i="1" s="1"/>
  <c r="Z160" i="1"/>
  <c r="AA160" i="1" s="1"/>
  <c r="Z103" i="1"/>
  <c r="AA103" i="1" s="1"/>
  <c r="Z39" i="1"/>
  <c r="AA39" i="1" s="1"/>
  <c r="Z6" i="1"/>
  <c r="AA6" i="1" s="1"/>
  <c r="Z44" i="1"/>
  <c r="AA44" i="1" s="1"/>
  <c r="Z99" i="1"/>
  <c r="AA99" i="1" s="1"/>
  <c r="Z35" i="1"/>
  <c r="AA35" i="1" s="1"/>
  <c r="S121" i="1"/>
  <c r="T121" i="1" s="1"/>
  <c r="Z121" i="1"/>
  <c r="AA121" i="1" s="1"/>
  <c r="S57" i="1"/>
  <c r="T57" i="1" s="1"/>
  <c r="Z57" i="1"/>
  <c r="AA57" i="1" s="1"/>
  <c r="Z48" i="1"/>
  <c r="AA48" i="1" s="1"/>
  <c r="Z50" i="1"/>
  <c r="AA50" i="1" s="1"/>
  <c r="Z117" i="1"/>
  <c r="AA117" i="1" s="1"/>
  <c r="Z101" i="1"/>
  <c r="AA101" i="1" s="1"/>
  <c r="Z122" i="1"/>
  <c r="AA122" i="1" s="1"/>
  <c r="Z140" i="1"/>
  <c r="AA140" i="1" s="1"/>
  <c r="S38" i="1"/>
  <c r="T38" i="1" s="1"/>
  <c r="S88" i="1"/>
  <c r="T88" i="1" s="1"/>
  <c r="S142" i="1"/>
  <c r="T142" i="1" s="1"/>
  <c r="S146" i="1"/>
  <c r="T146" i="1" s="1"/>
  <c r="S159" i="1"/>
  <c r="T159" i="1" s="1"/>
  <c r="S31" i="1"/>
  <c r="T31" i="1" s="1"/>
  <c r="S62" i="1"/>
  <c r="T62" i="1" s="1"/>
  <c r="S124" i="1"/>
  <c r="T124" i="1" s="1"/>
  <c r="S155" i="1"/>
  <c r="T155" i="1" s="1"/>
  <c r="S113" i="1"/>
  <c r="T113" i="1" s="1"/>
  <c r="S49" i="1"/>
  <c r="T49" i="1" s="1"/>
  <c r="S136" i="1"/>
  <c r="T136" i="1" s="1"/>
  <c r="S18" i="1"/>
  <c r="T18" i="1" s="1"/>
  <c r="S151" i="1"/>
  <c r="T151" i="1" s="1"/>
  <c r="S87" i="1"/>
  <c r="T87" i="1" s="1"/>
  <c r="S23" i="1"/>
  <c r="T23" i="1" s="1"/>
  <c r="S118" i="1"/>
  <c r="T118" i="1" s="1"/>
  <c r="S54" i="1"/>
  <c r="T54" i="1" s="1"/>
  <c r="S20" i="1"/>
  <c r="T20" i="1" s="1"/>
  <c r="S105" i="1"/>
  <c r="T105" i="1" s="1"/>
  <c r="S41" i="1"/>
  <c r="T41" i="1" s="1"/>
  <c r="L5" i="1"/>
  <c r="M5" i="1" s="1"/>
  <c r="S34" i="1"/>
  <c r="T34" i="1" s="1"/>
  <c r="S58" i="1"/>
  <c r="T58" i="1" s="1"/>
  <c r="S131" i="1"/>
  <c r="T131" i="1" s="1"/>
  <c r="S94" i="1"/>
  <c r="T94" i="1" s="1"/>
  <c r="S67" i="1"/>
  <c r="T67" i="1" s="1"/>
  <c r="S158" i="1"/>
  <c r="T158" i="1" s="1"/>
  <c r="S116" i="1"/>
  <c r="T116" i="1" s="1"/>
  <c r="S145" i="1"/>
  <c r="T145" i="1" s="1"/>
  <c r="S17" i="1"/>
  <c r="T17" i="1" s="1"/>
  <c r="S82" i="1"/>
  <c r="T82" i="1" s="1"/>
  <c r="S24" i="1"/>
  <c r="T24" i="1" s="1"/>
  <c r="S95" i="1"/>
  <c r="T95" i="1" s="1"/>
  <c r="S36" i="1"/>
  <c r="T36" i="1" s="1"/>
  <c r="S91" i="1"/>
  <c r="T91" i="1" s="1"/>
  <c r="S27" i="1"/>
  <c r="T27" i="1" s="1"/>
  <c r="S69" i="1"/>
  <c r="T69" i="1" s="1"/>
  <c r="S45" i="1"/>
  <c r="T45" i="1" s="1"/>
  <c r="L108" i="1"/>
  <c r="M108" i="1" s="1"/>
  <c r="S108" i="1"/>
  <c r="T108" i="1" s="1"/>
  <c r="S147" i="1"/>
  <c r="T147" i="1" s="1"/>
  <c r="S83" i="1"/>
  <c r="T83" i="1" s="1"/>
  <c r="S19" i="1"/>
  <c r="T19" i="1" s="1"/>
  <c r="S90" i="1"/>
  <c r="T90" i="1" s="1"/>
  <c r="S93" i="1"/>
  <c r="T93" i="1" s="1"/>
  <c r="S152" i="1"/>
  <c r="T152" i="1" s="1"/>
  <c r="S80" i="1"/>
  <c r="T80" i="1" s="1"/>
  <c r="S37" i="1"/>
  <c r="T37" i="1" s="1"/>
  <c r="S66" i="1"/>
  <c r="T66" i="1" s="1"/>
  <c r="S143" i="1"/>
  <c r="T143" i="1" s="1"/>
  <c r="S79" i="1"/>
  <c r="T79" i="1" s="1"/>
  <c r="S15" i="1"/>
  <c r="T15" i="1" s="1"/>
  <c r="S110" i="1"/>
  <c r="T110" i="1" s="1"/>
  <c r="L46" i="1"/>
  <c r="M46" i="1" s="1"/>
  <c r="S46" i="1"/>
  <c r="T46" i="1" s="1"/>
  <c r="L12" i="1"/>
  <c r="M12" i="1" s="1"/>
  <c r="S12" i="1"/>
  <c r="T12" i="1" s="1"/>
  <c r="S139" i="1"/>
  <c r="T139" i="1" s="1"/>
  <c r="S75" i="1"/>
  <c r="T75" i="1" s="1"/>
  <c r="S11" i="1"/>
  <c r="T11" i="1" s="1"/>
  <c r="S97" i="1"/>
  <c r="T97" i="1" s="1"/>
  <c r="S33" i="1"/>
  <c r="T33" i="1" s="1"/>
  <c r="S112" i="1"/>
  <c r="T112" i="1" s="1"/>
  <c r="S114" i="1"/>
  <c r="T114" i="1" s="1"/>
  <c r="S77" i="1"/>
  <c r="T77" i="1" s="1"/>
  <c r="S10" i="1"/>
  <c r="T10" i="1" s="1"/>
  <c r="S106" i="1"/>
  <c r="T106" i="1" s="1"/>
  <c r="S128" i="1"/>
  <c r="T128" i="1" s="1"/>
  <c r="S85" i="1"/>
  <c r="T85" i="1" s="1"/>
  <c r="S5" i="1"/>
  <c r="T5" i="1" s="1"/>
  <c r="S71" i="1"/>
  <c r="T71" i="1" s="1"/>
  <c r="L89" i="1"/>
  <c r="M89" i="1" s="1"/>
  <c r="S89" i="1"/>
  <c r="T89" i="1" s="1"/>
  <c r="S120" i="1"/>
  <c r="T120" i="1" s="1"/>
  <c r="S32" i="1"/>
  <c r="T32" i="1" s="1"/>
  <c r="S141" i="1"/>
  <c r="T141" i="1" s="1"/>
  <c r="S127" i="1"/>
  <c r="T127" i="1" s="1"/>
  <c r="S63" i="1"/>
  <c r="T63" i="1" s="1"/>
  <c r="S30" i="1"/>
  <c r="T30" i="1" s="1"/>
  <c r="S68" i="1"/>
  <c r="T68" i="1" s="1"/>
  <c r="S123" i="1"/>
  <c r="T123" i="1" s="1"/>
  <c r="S59" i="1"/>
  <c r="T59" i="1" s="1"/>
  <c r="L81" i="1"/>
  <c r="M81" i="1" s="1"/>
  <c r="S81" i="1"/>
  <c r="T81" i="1" s="1"/>
  <c r="S148" i="1"/>
  <c r="T148" i="1" s="1"/>
  <c r="S149" i="1"/>
  <c r="T149" i="1" s="1"/>
  <c r="S153" i="1"/>
  <c r="T153" i="1" s="1"/>
  <c r="S56" i="1"/>
  <c r="T56" i="1" s="1"/>
  <c r="S53" i="1"/>
  <c r="T53" i="1" s="1"/>
  <c r="S104" i="1"/>
  <c r="T104" i="1" s="1"/>
  <c r="S64" i="1"/>
  <c r="T64" i="1" s="1"/>
  <c r="L126" i="1"/>
  <c r="M126" i="1" s="1"/>
  <c r="S126" i="1"/>
  <c r="T126" i="1" s="1"/>
  <c r="S135" i="1"/>
  <c r="T135" i="1" s="1"/>
  <c r="S7" i="1"/>
  <c r="T7" i="1" s="1"/>
  <c r="L102" i="1"/>
  <c r="M102" i="1" s="1"/>
  <c r="S102" i="1"/>
  <c r="T102" i="1" s="1"/>
  <c r="L25" i="1"/>
  <c r="M25" i="1" s="1"/>
  <c r="S25" i="1"/>
  <c r="T25" i="1" s="1"/>
  <c r="S133" i="1"/>
  <c r="T133" i="1" s="1"/>
  <c r="S13" i="1"/>
  <c r="T13" i="1" s="1"/>
  <c r="S156" i="1"/>
  <c r="T156" i="1" s="1"/>
  <c r="S16" i="1"/>
  <c r="T16" i="1" s="1"/>
  <c r="S40" i="1"/>
  <c r="T40" i="1" s="1"/>
  <c r="S109" i="1"/>
  <c r="T109" i="1" s="1"/>
  <c r="L130" i="1"/>
  <c r="M130" i="1" s="1"/>
  <c r="S130" i="1"/>
  <c r="T130" i="1" s="1"/>
  <c r="S119" i="1"/>
  <c r="T119" i="1" s="1"/>
  <c r="S55" i="1"/>
  <c r="T55" i="1" s="1"/>
  <c r="S150" i="1"/>
  <c r="T150" i="1" s="1"/>
  <c r="S86" i="1"/>
  <c r="T86" i="1" s="1"/>
  <c r="S22" i="1"/>
  <c r="T22" i="1" s="1"/>
  <c r="S60" i="1"/>
  <c r="T60" i="1" s="1"/>
  <c r="S100" i="1"/>
  <c r="T100" i="1" s="1"/>
  <c r="S115" i="1"/>
  <c r="T115" i="1" s="1"/>
  <c r="S51" i="1"/>
  <c r="T51" i="1" s="1"/>
  <c r="S137" i="1"/>
  <c r="T137" i="1" s="1"/>
  <c r="S73" i="1"/>
  <c r="T73" i="1" s="1"/>
  <c r="S9" i="1"/>
  <c r="T9" i="1" s="1"/>
  <c r="S2" i="1"/>
  <c r="T2" i="1" s="1"/>
  <c r="S8" i="1"/>
  <c r="T8" i="1" s="1"/>
  <c r="S98" i="1"/>
  <c r="T98" i="1" s="1"/>
  <c r="S74" i="1"/>
  <c r="T74" i="1" s="1"/>
  <c r="S154" i="1"/>
  <c r="T154" i="1" s="1"/>
  <c r="S125" i="1"/>
  <c r="T125" i="1" s="1"/>
  <c r="S21" i="1"/>
  <c r="T21" i="1" s="1"/>
  <c r="L14" i="1"/>
  <c r="M14" i="1" s="1"/>
  <c r="S14" i="1"/>
  <c r="T14" i="1" s="1"/>
  <c r="S138" i="1"/>
  <c r="T138" i="1" s="1"/>
  <c r="S107" i="1"/>
  <c r="T107" i="1" s="1"/>
  <c r="S43" i="1"/>
  <c r="T43" i="1" s="1"/>
  <c r="L65" i="1"/>
  <c r="M65" i="1" s="1"/>
  <c r="S65" i="1"/>
  <c r="T65" i="1" s="1"/>
  <c r="S26" i="1"/>
  <c r="T26" i="1" s="1"/>
  <c r="S29" i="1"/>
  <c r="T29" i="1" s="1"/>
  <c r="S96" i="1"/>
  <c r="T96" i="1" s="1"/>
  <c r="S61" i="1"/>
  <c r="T61" i="1" s="1"/>
  <c r="S144" i="1"/>
  <c r="T144" i="1" s="1"/>
  <c r="S160" i="1"/>
  <c r="T160" i="1" s="1"/>
  <c r="L103" i="1"/>
  <c r="M103" i="1" s="1"/>
  <c r="S103" i="1"/>
  <c r="T103" i="1" s="1"/>
  <c r="L39" i="1"/>
  <c r="M39" i="1" s="1"/>
  <c r="S39" i="1"/>
  <c r="T39" i="1" s="1"/>
  <c r="L134" i="1"/>
  <c r="M134" i="1" s="1"/>
  <c r="S134" i="1"/>
  <c r="T134" i="1" s="1"/>
  <c r="L70" i="1"/>
  <c r="M70" i="1" s="1"/>
  <c r="S70" i="1"/>
  <c r="T70" i="1" s="1"/>
  <c r="L6" i="1"/>
  <c r="M6" i="1" s="1"/>
  <c r="S6" i="1"/>
  <c r="T6" i="1" s="1"/>
  <c r="L44" i="1"/>
  <c r="M44" i="1" s="1"/>
  <c r="S44" i="1"/>
  <c r="T44" i="1" s="1"/>
  <c r="L28" i="1"/>
  <c r="M28" i="1" s="1"/>
  <c r="S28" i="1"/>
  <c r="T28" i="1" s="1"/>
  <c r="L99" i="1"/>
  <c r="M99" i="1" s="1"/>
  <c r="S99" i="1"/>
  <c r="T99" i="1" s="1"/>
  <c r="L35" i="1"/>
  <c r="M35" i="1" s="1"/>
  <c r="S35" i="1"/>
  <c r="T35" i="1" s="1"/>
  <c r="L48" i="1"/>
  <c r="M48" i="1" s="1"/>
  <c r="S48" i="1"/>
  <c r="T48" i="1" s="1"/>
  <c r="S50" i="1"/>
  <c r="T50" i="1" s="1"/>
  <c r="S117" i="1"/>
  <c r="T117" i="1" s="1"/>
  <c r="S101" i="1"/>
  <c r="T101" i="1" s="1"/>
  <c r="S122" i="1"/>
  <c r="T122" i="1" s="1"/>
  <c r="L140" i="1"/>
  <c r="M140" i="1" s="1"/>
  <c r="S140" i="1"/>
  <c r="T140" i="1" s="1"/>
  <c r="S157" i="1"/>
  <c r="T157" i="1" s="1"/>
  <c r="L124" i="1"/>
  <c r="M124" i="1" s="1"/>
  <c r="L113" i="1"/>
  <c r="M113" i="1" s="1"/>
  <c r="L119" i="1"/>
  <c r="M119" i="1" s="1"/>
  <c r="L150" i="1"/>
  <c r="M150" i="1" s="1"/>
  <c r="L22" i="1"/>
  <c r="M22" i="1" s="1"/>
  <c r="L60" i="1"/>
  <c r="M60" i="1" s="1"/>
  <c r="L100" i="1"/>
  <c r="M100" i="1" s="1"/>
  <c r="L50" i="1"/>
  <c r="M50" i="1" s="1"/>
  <c r="L117" i="1"/>
  <c r="M117" i="1" s="1"/>
  <c r="L36" i="1"/>
  <c r="M36" i="1" s="1"/>
  <c r="L49" i="1"/>
  <c r="M49" i="1" s="1"/>
  <c r="L20" i="1"/>
  <c r="M20" i="1" s="1"/>
  <c r="L55" i="1"/>
  <c r="M55" i="1" s="1"/>
  <c r="L86" i="1"/>
  <c r="M86" i="1" s="1"/>
  <c r="L115" i="1"/>
  <c r="M115" i="1" s="1"/>
  <c r="L51" i="1"/>
  <c r="M51" i="1" s="1"/>
  <c r="L137" i="1"/>
  <c r="M137" i="1" s="1"/>
  <c r="L73" i="1"/>
  <c r="M73" i="1" s="1"/>
  <c r="L9" i="1"/>
  <c r="M9" i="1" s="1"/>
  <c r="L2" i="1"/>
  <c r="M2" i="1" s="1"/>
  <c r="L74" i="1"/>
  <c r="M74" i="1" s="1"/>
  <c r="L154" i="1"/>
  <c r="M154" i="1" s="1"/>
  <c r="L125" i="1"/>
  <c r="M125" i="1" s="1"/>
  <c r="L21" i="1"/>
  <c r="M21" i="1" s="1"/>
  <c r="L146" i="1"/>
  <c r="M146" i="1" s="1"/>
  <c r="L111" i="1"/>
  <c r="M111" i="1" s="1"/>
  <c r="L47" i="1"/>
  <c r="M47" i="1" s="1"/>
  <c r="L142" i="1"/>
  <c r="M142" i="1" s="1"/>
  <c r="L78" i="1"/>
  <c r="M78" i="1" s="1"/>
  <c r="L52" i="1"/>
  <c r="M52" i="1" s="1"/>
  <c r="L84" i="1"/>
  <c r="M84" i="1" s="1"/>
  <c r="L107" i="1"/>
  <c r="M107" i="1" s="1"/>
  <c r="L43" i="1"/>
  <c r="M43" i="1" s="1"/>
  <c r="L129" i="1"/>
  <c r="M129" i="1" s="1"/>
  <c r="L26" i="1"/>
  <c r="M26" i="1" s="1"/>
  <c r="L29" i="1"/>
  <c r="M29" i="1" s="1"/>
  <c r="L138" i="1"/>
  <c r="M138" i="1" s="1"/>
  <c r="L96" i="1"/>
  <c r="M96" i="1" s="1"/>
  <c r="L61" i="1"/>
  <c r="M61" i="1" s="1"/>
  <c r="L144" i="1"/>
  <c r="M144" i="1" s="1"/>
  <c r="L82" i="1"/>
  <c r="M82" i="1" s="1"/>
  <c r="L159" i="1"/>
  <c r="M159" i="1" s="1"/>
  <c r="L95" i="1"/>
  <c r="M95" i="1" s="1"/>
  <c r="L31" i="1"/>
  <c r="M31" i="1" s="1"/>
  <c r="L62" i="1"/>
  <c r="M62" i="1" s="1"/>
  <c r="L155" i="1"/>
  <c r="M155" i="1" s="1"/>
  <c r="L91" i="1"/>
  <c r="M91" i="1" s="1"/>
  <c r="L27" i="1"/>
  <c r="M27" i="1" s="1"/>
  <c r="L69" i="1"/>
  <c r="M69" i="1" s="1"/>
  <c r="L72" i="1"/>
  <c r="M72" i="1" s="1"/>
  <c r="L136" i="1"/>
  <c r="M136" i="1" s="1"/>
  <c r="L157" i="1"/>
  <c r="M157" i="1" s="1"/>
  <c r="L18" i="1"/>
  <c r="M18" i="1" s="1"/>
  <c r="L98" i="1"/>
  <c r="M98" i="1" s="1"/>
  <c r="L101" i="1"/>
  <c r="M101" i="1" s="1"/>
  <c r="L122" i="1"/>
  <c r="M122" i="1" s="1"/>
  <c r="L24" i="1"/>
  <c r="M24" i="1" s="1"/>
  <c r="L45" i="1"/>
  <c r="M45" i="1" s="1"/>
  <c r="L151" i="1"/>
  <c r="M151" i="1" s="1"/>
  <c r="L87" i="1"/>
  <c r="M87" i="1" s="1"/>
  <c r="L23" i="1"/>
  <c r="M23" i="1" s="1"/>
  <c r="L118" i="1"/>
  <c r="M118" i="1" s="1"/>
  <c r="L54" i="1"/>
  <c r="M54" i="1" s="1"/>
  <c r="L147" i="1"/>
  <c r="M147" i="1" s="1"/>
  <c r="L83" i="1"/>
  <c r="M83" i="1" s="1"/>
  <c r="L19" i="1"/>
  <c r="M19" i="1" s="1"/>
  <c r="L105" i="1"/>
  <c r="M105" i="1" s="1"/>
  <c r="L41" i="1"/>
  <c r="M41" i="1" s="1"/>
  <c r="L90" i="1"/>
  <c r="M90" i="1" s="1"/>
  <c r="L93" i="1"/>
  <c r="M93" i="1" s="1"/>
  <c r="L34" i="1"/>
  <c r="M34" i="1" s="1"/>
  <c r="L152" i="1"/>
  <c r="M152" i="1" s="1"/>
  <c r="L58" i="1"/>
  <c r="M58" i="1" s="1"/>
  <c r="L80" i="1"/>
  <c r="M80" i="1" s="1"/>
  <c r="L37" i="1"/>
  <c r="M37" i="1" s="1"/>
  <c r="L8" i="1"/>
  <c r="M8" i="1" s="1"/>
  <c r="L121" i="1"/>
  <c r="M121" i="1" s="1"/>
  <c r="L66" i="1"/>
  <c r="M66" i="1" s="1"/>
  <c r="L143" i="1"/>
  <c r="M143" i="1" s="1"/>
  <c r="L79" i="1"/>
  <c r="M79" i="1" s="1"/>
  <c r="L15" i="1"/>
  <c r="M15" i="1" s="1"/>
  <c r="L110" i="1"/>
  <c r="M110" i="1" s="1"/>
  <c r="L92" i="1"/>
  <c r="M92" i="1" s="1"/>
  <c r="L139" i="1"/>
  <c r="M139" i="1" s="1"/>
  <c r="L75" i="1"/>
  <c r="M75" i="1" s="1"/>
  <c r="L11" i="1"/>
  <c r="M11" i="1" s="1"/>
  <c r="L97" i="1"/>
  <c r="M97" i="1" s="1"/>
  <c r="L33" i="1"/>
  <c r="M33" i="1" s="1"/>
  <c r="L112" i="1"/>
  <c r="M112" i="1" s="1"/>
  <c r="L114" i="1"/>
  <c r="M114" i="1" s="1"/>
  <c r="L77" i="1"/>
  <c r="M77" i="1" s="1"/>
  <c r="L10" i="1"/>
  <c r="M10" i="1" s="1"/>
  <c r="L106" i="1"/>
  <c r="M106" i="1" s="1"/>
  <c r="L128" i="1"/>
  <c r="M128" i="1" s="1"/>
  <c r="L85" i="1"/>
  <c r="M85" i="1" s="1"/>
  <c r="L57" i="1"/>
  <c r="M57" i="1" s="1"/>
  <c r="L88" i="1"/>
  <c r="M88" i="1" s="1"/>
  <c r="L135" i="1"/>
  <c r="M135" i="1" s="1"/>
  <c r="L71" i="1"/>
  <c r="M71" i="1" s="1"/>
  <c r="L7" i="1"/>
  <c r="M7" i="1" s="1"/>
  <c r="L38" i="1"/>
  <c r="M38" i="1" s="1"/>
  <c r="L76" i="1"/>
  <c r="M76" i="1" s="1"/>
  <c r="L4" i="1"/>
  <c r="M4" i="1" s="1"/>
  <c r="L131" i="1"/>
  <c r="M131" i="1" s="1"/>
  <c r="L67" i="1"/>
  <c r="M67" i="1" s="1"/>
  <c r="L3" i="1"/>
  <c r="M3" i="1" s="1"/>
  <c r="L132" i="1"/>
  <c r="M132" i="1" s="1"/>
  <c r="L133" i="1"/>
  <c r="M133" i="1" s="1"/>
  <c r="L120" i="1"/>
  <c r="M120" i="1" s="1"/>
  <c r="L13" i="1"/>
  <c r="M13" i="1" s="1"/>
  <c r="L32" i="1"/>
  <c r="M32" i="1" s="1"/>
  <c r="L42" i="1"/>
  <c r="M42" i="1" s="1"/>
  <c r="L156" i="1"/>
  <c r="M156" i="1" s="1"/>
  <c r="L16" i="1"/>
  <c r="M16" i="1" s="1"/>
  <c r="L40" i="1"/>
  <c r="M40" i="1" s="1"/>
  <c r="L141" i="1"/>
  <c r="M141" i="1" s="1"/>
  <c r="L160" i="1"/>
  <c r="M160" i="1" s="1"/>
  <c r="L109" i="1"/>
  <c r="M109" i="1" s="1"/>
  <c r="L127" i="1"/>
  <c r="M127" i="1" s="1"/>
  <c r="L63" i="1"/>
  <c r="M63" i="1" s="1"/>
  <c r="L158" i="1"/>
  <c r="M158" i="1" s="1"/>
  <c r="L94" i="1"/>
  <c r="M94" i="1" s="1"/>
  <c r="L30" i="1"/>
  <c r="M30" i="1" s="1"/>
  <c r="L68" i="1"/>
  <c r="M68" i="1" s="1"/>
  <c r="L116" i="1"/>
  <c r="M116" i="1" s="1"/>
  <c r="L123" i="1"/>
  <c r="M123" i="1" s="1"/>
  <c r="L59" i="1"/>
  <c r="M59" i="1" s="1"/>
  <c r="L145" i="1"/>
  <c r="M145" i="1" s="1"/>
  <c r="L17" i="1"/>
  <c r="M17" i="1" s="1"/>
  <c r="L148" i="1"/>
  <c r="M148" i="1" s="1"/>
  <c r="L149" i="1"/>
  <c r="M149" i="1" s="1"/>
  <c r="L153" i="1"/>
  <c r="M153" i="1" s="1"/>
  <c r="L56" i="1"/>
  <c r="M56" i="1" s="1"/>
  <c r="L53" i="1"/>
  <c r="M53" i="1" s="1"/>
  <c r="L104" i="1"/>
  <c r="M104" i="1" s="1"/>
  <c r="L64" i="1"/>
  <c r="M64" i="1" s="1"/>
  <c r="I162" i="1"/>
  <c r="I161" i="1"/>
  <c r="G162" i="1"/>
  <c r="G161" i="1"/>
  <c r="H162" i="1"/>
  <c r="H161" i="1"/>
  <c r="F161" i="1"/>
  <c r="F162" i="1"/>
</calcChain>
</file>

<file path=xl/sharedStrings.xml><?xml version="1.0" encoding="utf-8"?>
<sst xmlns="http://schemas.openxmlformats.org/spreadsheetml/2006/main" count="43" uniqueCount="43">
  <si>
    <t>PctRural</t>
  </si>
  <si>
    <t>PctBach</t>
  </si>
  <si>
    <t>PctFB</t>
  </si>
  <si>
    <t>PctBlack</t>
  </si>
  <si>
    <t>X</t>
  </si>
  <si>
    <t>Y</t>
  </si>
  <si>
    <t>Area_Key</t>
  </si>
  <si>
    <t>Zone_KM</t>
  </si>
  <si>
    <t>Const_KM</t>
  </si>
  <si>
    <t>Rural_KM</t>
  </si>
  <si>
    <t>FB_KM</t>
  </si>
  <si>
    <t>Black_KM</t>
  </si>
  <si>
    <t>Zone_AZP</t>
  </si>
  <si>
    <t>Const_AZP</t>
  </si>
  <si>
    <t>Rural_AZP</t>
  </si>
  <si>
    <t>FB_AZP</t>
  </si>
  <si>
    <t>Black_AZP</t>
  </si>
  <si>
    <t>Zone_RKM</t>
  </si>
  <si>
    <t>Const_RKM</t>
  </si>
  <si>
    <t>Rural_RKM</t>
  </si>
  <si>
    <t>FB_RKM</t>
  </si>
  <si>
    <t>Black_RKM</t>
  </si>
  <si>
    <t>Const_GWR</t>
  </si>
  <si>
    <t>Rural_GWR</t>
  </si>
  <si>
    <t>FB_GWR</t>
  </si>
  <si>
    <t>Black_GWR</t>
  </si>
  <si>
    <t>Zone_GWC</t>
  </si>
  <si>
    <t>Const_GWC</t>
  </si>
  <si>
    <t>Rural_GWC</t>
  </si>
  <si>
    <t>FB_GWC</t>
  </si>
  <si>
    <t>Black_GWC</t>
  </si>
  <si>
    <t>PctBachS</t>
    <phoneticPr fontId="18" type="noConversion"/>
  </si>
  <si>
    <t>PctRuralS</t>
    <phoneticPr fontId="18" type="noConversion"/>
  </si>
  <si>
    <t>PctFBS</t>
    <phoneticPr fontId="18" type="noConversion"/>
  </si>
  <si>
    <t>PctBlackS</t>
    <phoneticPr fontId="18" type="noConversion"/>
  </si>
  <si>
    <t>Pred_KM</t>
    <phoneticPr fontId="18" type="noConversion"/>
  </si>
  <si>
    <t>Pred_KMS</t>
    <phoneticPr fontId="18" type="noConversion"/>
  </si>
  <si>
    <t>Pred_AZPS</t>
    <phoneticPr fontId="18" type="noConversion"/>
  </si>
  <si>
    <t>Pred_AZP</t>
    <phoneticPr fontId="18" type="noConversion"/>
  </si>
  <si>
    <t>Pred_RKMS</t>
    <phoneticPr fontId="18" type="noConversion"/>
  </si>
  <si>
    <t>Pred_RKM</t>
    <phoneticPr fontId="18" type="noConversion"/>
  </si>
  <si>
    <t>Pred_GWCS</t>
    <phoneticPr fontId="18" type="noConversion"/>
  </si>
  <si>
    <t>Pred_GWC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</si>
</sst>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_ "/>
    <numFmt numFmtId="178" formatCode="0.0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2"/>
  <sheetViews>
    <sheetView tabSelected="1" workbookViewId="0">
      <selection activeCell="I15" sqref="I15"/>
    </sheetView>
  </sheetViews>
  <sheetFormatPr defaultRowHeight="14" x14ac:dyDescent="0.3"/>
  <cols>
    <col min="1" max="1" width="8.25" style="1" customWidth="1"/>
    <col min="2" max="9" width="9.5" style="3" customWidth="1"/>
    <col min="10" max="10" width="10.25" style="2" hidden="1" customWidth="1"/>
    <col min="11" max="11" width="9.58203125" style="1" hidden="1" customWidth="1"/>
    <col min="12" max="13" width="9.58203125" style="1" customWidth="1"/>
    <col min="14" max="14" width="9" style="1" customWidth="1"/>
    <col min="15" max="18" width="10.83203125" style="3" customWidth="1"/>
    <col min="19" max="20" width="9.58203125" style="1" customWidth="1"/>
    <col min="21" max="21" width="10.58203125" style="1" customWidth="1"/>
    <col min="22" max="25" width="10.5" style="3" customWidth="1"/>
    <col min="26" max="27" width="9.58203125" style="1" customWidth="1"/>
    <col min="28" max="28" width="10.58203125" style="1" customWidth="1"/>
    <col min="29" max="32" width="11.08203125" style="3" customWidth="1"/>
    <col min="33" max="36" width="10.1640625" style="3" customWidth="1"/>
    <col min="37" max="38" width="9.58203125" style="1" customWidth="1"/>
    <col min="39" max="39" width="10.58203125" style="1" customWidth="1"/>
    <col min="40" max="43" width="9.83203125" style="3" customWidth="1"/>
  </cols>
  <sheetData>
    <row r="1" spans="1:43" x14ac:dyDescent="0.3">
      <c r="A1" s="1" t="s">
        <v>6</v>
      </c>
      <c r="B1" s="3" t="s">
        <v>1</v>
      </c>
      <c r="C1" s="3" t="s">
        <v>0</v>
      </c>
      <c r="D1" s="3" t="s">
        <v>2</v>
      </c>
      <c r="E1" s="3" t="s">
        <v>3</v>
      </c>
      <c r="F1" s="3" t="s">
        <v>31</v>
      </c>
      <c r="G1" s="3" t="s">
        <v>32</v>
      </c>
      <c r="H1" s="3" t="s">
        <v>33</v>
      </c>
      <c r="I1" s="3" t="s">
        <v>34</v>
      </c>
      <c r="J1" s="2" t="s">
        <v>4</v>
      </c>
      <c r="K1" s="1" t="s">
        <v>5</v>
      </c>
      <c r="L1" s="1" t="s">
        <v>36</v>
      </c>
      <c r="M1" s="1" t="s">
        <v>35</v>
      </c>
      <c r="N1" s="1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1" t="s">
        <v>37</v>
      </c>
      <c r="T1" s="1" t="s">
        <v>38</v>
      </c>
      <c r="U1" s="1" t="s">
        <v>12</v>
      </c>
      <c r="V1" s="3" t="s">
        <v>13</v>
      </c>
      <c r="W1" s="3" t="s">
        <v>14</v>
      </c>
      <c r="X1" s="3" t="s">
        <v>15</v>
      </c>
      <c r="Y1" s="3" t="s">
        <v>16</v>
      </c>
      <c r="Z1" s="1" t="s">
        <v>39</v>
      </c>
      <c r="AA1" s="1" t="s">
        <v>40</v>
      </c>
      <c r="AB1" s="1" t="s">
        <v>17</v>
      </c>
      <c r="AC1" s="3" t="s">
        <v>18</v>
      </c>
      <c r="AD1" s="3" t="s">
        <v>19</v>
      </c>
      <c r="AE1" s="3" t="s">
        <v>20</v>
      </c>
      <c r="AF1" s="3" t="s">
        <v>21</v>
      </c>
      <c r="AG1" s="3" t="s">
        <v>22</v>
      </c>
      <c r="AH1" s="3" t="s">
        <v>23</v>
      </c>
      <c r="AI1" s="3" t="s">
        <v>24</v>
      </c>
      <c r="AJ1" s="3" t="s">
        <v>25</v>
      </c>
      <c r="AK1" s="1" t="s">
        <v>41</v>
      </c>
      <c r="AL1" s="1" t="s">
        <v>42</v>
      </c>
      <c r="AM1" s="1" t="s">
        <v>26</v>
      </c>
      <c r="AN1" s="3" t="s">
        <v>27</v>
      </c>
      <c r="AO1" s="3" t="s">
        <v>28</v>
      </c>
      <c r="AP1" s="3" t="s">
        <v>29</v>
      </c>
      <c r="AQ1" s="3" t="s">
        <v>30</v>
      </c>
    </row>
    <row r="2" spans="1:43" x14ac:dyDescent="0.3">
      <c r="A2" s="1">
        <v>13001</v>
      </c>
      <c r="B2" s="3">
        <v>8.1999999999999904</v>
      </c>
      <c r="C2" s="3">
        <v>75.599999999999895</v>
      </c>
      <c r="D2" s="3">
        <v>0.64</v>
      </c>
      <c r="E2" s="3">
        <v>20.76</v>
      </c>
      <c r="F2" s="3">
        <f>(B2-B$161)/B$162</f>
        <v>-0.48373424274906712</v>
      </c>
      <c r="G2" s="3">
        <f>(C2-C$161)/C$162</f>
        <v>0.2006412072223962</v>
      </c>
      <c r="H2" s="3">
        <f>(D2-D$161)/D$162</f>
        <v>-0.39851657494427073</v>
      </c>
      <c r="I2" s="3">
        <f>(E2-E$161)/E$162</f>
        <v>-0.38280569670058628</v>
      </c>
      <c r="J2" s="2">
        <v>941396.59999999905</v>
      </c>
      <c r="K2" s="1">
        <v>3521764</v>
      </c>
      <c r="L2" s="3">
        <f>O2+P2*$G2+Q2*$H2+R2*$I2</f>
        <v>-0.45404852882486624</v>
      </c>
      <c r="M2" s="3">
        <f>L2*$B$162+$B$161</f>
        <v>8.368587811060479</v>
      </c>
      <c r="N2" s="1">
        <v>0</v>
      </c>
      <c r="O2" s="3">
        <v>-0.29754170299999999</v>
      </c>
      <c r="P2" s="3">
        <v>-0.36655891800000001</v>
      </c>
      <c r="Q2" s="3">
        <v>0.15384221300000001</v>
      </c>
      <c r="R2" s="3">
        <v>5.6559581999999997E-2</v>
      </c>
      <c r="S2" s="3">
        <f>V2+W2*$G2+X2*$H2+Y2*$I2</f>
        <v>-0.27321032172178406</v>
      </c>
      <c r="T2" s="3">
        <f>S2*$B$162+$B$161</f>
        <v>9.3955840817062679</v>
      </c>
      <c r="U2" s="1">
        <v>2</v>
      </c>
      <c r="V2" s="3">
        <v>-0.13655372900000001</v>
      </c>
      <c r="W2" s="3">
        <v>-0.53975352499999996</v>
      </c>
      <c r="X2" s="3">
        <v>6.0196410000000001E-3</v>
      </c>
      <c r="Y2" s="3">
        <v>6.7817348E-2</v>
      </c>
      <c r="Z2" s="3">
        <f>AC2+AD2*$G2+AE2*$H2+AF2*$I2</f>
        <v>-0.39850543535449295</v>
      </c>
      <c r="AA2" s="3">
        <f>Z2*$B$162+$B$161</f>
        <v>8.6840219815711848</v>
      </c>
      <c r="AB2" s="1">
        <v>1</v>
      </c>
      <c r="AC2" s="3">
        <v>-0.27574183299999999</v>
      </c>
      <c r="AD2" s="3">
        <v>-0.23985341199999999</v>
      </c>
      <c r="AE2" s="3">
        <v>0.21363271</v>
      </c>
      <c r="AF2" s="3">
        <v>-2.7421357E-2</v>
      </c>
      <c r="AG2" s="3">
        <v>-0.23204579</v>
      </c>
      <c r="AH2" s="3">
        <v>-0.42649460700000003</v>
      </c>
      <c r="AI2" s="3">
        <v>0.228208151</v>
      </c>
      <c r="AJ2" s="3">
        <v>5.6974451000000002E-2</v>
      </c>
      <c r="AK2" s="3">
        <f>AN2+AO2*$G2+AP2*$H2+AQ2*$I2</f>
        <v>-0.41922808264067762</v>
      </c>
      <c r="AL2" s="3">
        <f>AK2*$B$162+$B$161</f>
        <v>8.5663362235571796</v>
      </c>
      <c r="AM2" s="1">
        <v>0</v>
      </c>
      <c r="AN2" s="3">
        <v>-0.25974846699999998</v>
      </c>
      <c r="AO2" s="3">
        <v>-0.46703683299999998</v>
      </c>
      <c r="AP2" s="3">
        <v>9.7003433E-2</v>
      </c>
      <c r="AQ2" s="3">
        <v>7.0833077999999994E-2</v>
      </c>
    </row>
    <row r="3" spans="1:43" x14ac:dyDescent="0.3">
      <c r="A3" s="1">
        <v>13003</v>
      </c>
      <c r="B3" s="3">
        <v>6.4</v>
      </c>
      <c r="C3" s="3">
        <v>100</v>
      </c>
      <c r="D3" s="3">
        <v>1.58</v>
      </c>
      <c r="E3" s="3">
        <v>26.8599999999999</v>
      </c>
      <c r="F3" s="3">
        <f>(B3-B$161)/B$162</f>
        <v>-0.80068648696789202</v>
      </c>
      <c r="G3" s="3">
        <f>(C3-C$161)/C$162</f>
        <v>1.1038758643818527</v>
      </c>
      <c r="H3" s="3">
        <f>(D3-D$161)/D$162</f>
        <v>0.36422240944772244</v>
      </c>
      <c r="I3" s="3">
        <f>(E3-E$161)/E$162</f>
        <v>-3.076499616212543E-2</v>
      </c>
      <c r="J3" s="2">
        <v>895553</v>
      </c>
      <c r="K3" s="1">
        <v>3471916</v>
      </c>
      <c r="L3" s="3">
        <f>O3+P3*$G3+Q3*$H3+R3*$I3</f>
        <v>-0.64788451928365831</v>
      </c>
      <c r="M3" s="3">
        <f>L3*$B$162+$B$161</f>
        <v>7.2677759720853352</v>
      </c>
      <c r="N3" s="1">
        <v>0</v>
      </c>
      <c r="O3" s="3">
        <v>-0.29754170299999999</v>
      </c>
      <c r="P3" s="3">
        <v>-0.36655891800000001</v>
      </c>
      <c r="Q3" s="3">
        <v>0.15384221300000001</v>
      </c>
      <c r="R3" s="3">
        <v>5.6559581999999997E-2</v>
      </c>
      <c r="S3" s="3">
        <f>V3+W3*$G3+X3*$H3+Y3*$I3</f>
        <v>-0.73226853026444227</v>
      </c>
      <c r="T3" s="3">
        <f>S3*$B$162+$B$161</f>
        <v>6.7885516645251585</v>
      </c>
      <c r="U3" s="1">
        <v>2</v>
      </c>
      <c r="V3" s="3">
        <v>-0.13655372900000001</v>
      </c>
      <c r="W3" s="3">
        <v>-0.53975352499999996</v>
      </c>
      <c r="X3" s="3">
        <v>6.0196410000000001E-3</v>
      </c>
      <c r="Y3" s="3">
        <v>6.7817348E-2</v>
      </c>
      <c r="Z3" s="3">
        <f>AC3+AD3*$G3+AE3*$H3+AF3*$I3</f>
        <v>-0.46185678718052486</v>
      </c>
      <c r="AA3" s="3">
        <f>Z3*$B$162+$B$161</f>
        <v>8.3242440170140739</v>
      </c>
      <c r="AB3" s="1">
        <v>1</v>
      </c>
      <c r="AC3" s="3">
        <v>-0.27574183299999999</v>
      </c>
      <c r="AD3" s="3">
        <v>-0.23985341199999999</v>
      </c>
      <c r="AE3" s="3">
        <v>0.21363271</v>
      </c>
      <c r="AF3" s="3">
        <v>-2.7421357E-2</v>
      </c>
      <c r="AG3" s="3">
        <v>-0.27922380200000002</v>
      </c>
      <c r="AH3" s="3">
        <v>-0.41226348299999999</v>
      </c>
      <c r="AI3" s="3">
        <v>0.165117342</v>
      </c>
      <c r="AJ3" s="3">
        <v>9.5165422999999999E-2</v>
      </c>
      <c r="AK3" s="3">
        <f>AN3+AO3*$G3+AP3*$H3+AQ3*$I3</f>
        <v>-0.74214751000689871</v>
      </c>
      <c r="AL3" s="3">
        <f>AK3*$B$162+$B$161</f>
        <v>6.7324480594528922</v>
      </c>
      <c r="AM3" s="1">
        <v>0</v>
      </c>
      <c r="AN3" s="3">
        <v>-0.25974846699999998</v>
      </c>
      <c r="AO3" s="3">
        <v>-0.46703683299999998</v>
      </c>
      <c r="AP3" s="3">
        <v>9.7003433E-2</v>
      </c>
      <c r="AQ3" s="3">
        <v>7.0833077999999994E-2</v>
      </c>
    </row>
    <row r="4" spans="1:43" x14ac:dyDescent="0.3">
      <c r="A4" s="1">
        <v>13005</v>
      </c>
      <c r="B4" s="3">
        <v>6.6</v>
      </c>
      <c r="C4" s="3">
        <v>61.7</v>
      </c>
      <c r="D4" s="3">
        <v>0.27</v>
      </c>
      <c r="E4" s="3">
        <v>15.42</v>
      </c>
      <c r="F4" s="3">
        <f>(B4-B$161)/B$162</f>
        <v>-0.76546957094357804</v>
      </c>
      <c r="G4" s="3">
        <f>(C4-C$161)/C$162</f>
        <v>-0.31390640484794363</v>
      </c>
      <c r="H4" s="3">
        <f>(D4-D$161)/D$162</f>
        <v>-0.69874362199218287</v>
      </c>
      <c r="I4" s="3">
        <f>(E4-E$161)/E$162</f>
        <v>-0.69098558864737525</v>
      </c>
      <c r="J4" s="2">
        <v>930946.4</v>
      </c>
      <c r="K4" s="1">
        <v>3502787</v>
      </c>
      <c r="L4" s="3">
        <f>O4+P4*$G4+Q4*$H4+R4*$I4</f>
        <v>-0.3290546320745002</v>
      </c>
      <c r="M4" s="3">
        <f>L4*$B$162+$B$161</f>
        <v>9.0784392737159205</v>
      </c>
      <c r="N4" s="1">
        <v>0</v>
      </c>
      <c r="O4" s="3">
        <v>-0.29754170299999999</v>
      </c>
      <c r="P4" s="3">
        <v>-0.36655891800000001</v>
      </c>
      <c r="Q4" s="3">
        <v>0.15384221300000001</v>
      </c>
      <c r="R4" s="3">
        <v>5.6559581999999997E-2</v>
      </c>
      <c r="S4" s="3">
        <f>V4+W4*$G4+X4*$H4+Y4*$I4</f>
        <v>-0.66756095819451489</v>
      </c>
      <c r="T4" s="3">
        <f>S4*$B$162+$B$161</f>
        <v>7.1560317245352554</v>
      </c>
      <c r="U4" s="1">
        <v>0</v>
      </c>
      <c r="V4" s="3">
        <v>-0.54906074100000002</v>
      </c>
      <c r="W4" s="3">
        <v>-0.34651111899999998</v>
      </c>
      <c r="X4" s="3">
        <v>0.18161730300000001</v>
      </c>
      <c r="Y4" s="3">
        <v>0.14525389</v>
      </c>
      <c r="Z4" s="3">
        <f>AC4+AD4*$G4+AE4*$H4+AF4*$I4</f>
        <v>-0.33077704180181816</v>
      </c>
      <c r="AA4" s="3">
        <f>Z4*$B$162+$B$161</f>
        <v>9.0686575555999518</v>
      </c>
      <c r="AB4" s="1">
        <v>1</v>
      </c>
      <c r="AC4" s="3">
        <v>-0.27574183299999999</v>
      </c>
      <c r="AD4" s="3">
        <v>-0.23985341199999999</v>
      </c>
      <c r="AE4" s="3">
        <v>0.21363271</v>
      </c>
      <c r="AF4" s="3">
        <v>-2.7421357E-2</v>
      </c>
      <c r="AG4" s="3">
        <v>-0.248944002</v>
      </c>
      <c r="AH4" s="3">
        <v>-0.42573638200000002</v>
      </c>
      <c r="AI4" s="3">
        <v>0.20466991200000001</v>
      </c>
      <c r="AJ4" s="3">
        <v>7.1211969999999999E-2</v>
      </c>
      <c r="AK4" s="3">
        <f>AN4+AO4*$G4+AP4*$H4+AQ4*$I4</f>
        <v>-0.22986778003903199</v>
      </c>
      <c r="AL4" s="3">
        <f>AK4*$B$162+$B$161</f>
        <v>9.6417302329071735</v>
      </c>
      <c r="AM4" s="1">
        <v>0</v>
      </c>
      <c r="AN4" s="3">
        <v>-0.25974846699999998</v>
      </c>
      <c r="AO4" s="3">
        <v>-0.46703683299999998</v>
      </c>
      <c r="AP4" s="3">
        <v>9.7003433E-2</v>
      </c>
      <c r="AQ4" s="3">
        <v>7.0833077999999994E-2</v>
      </c>
    </row>
    <row r="5" spans="1:43" x14ac:dyDescent="0.3">
      <c r="A5" s="1">
        <v>13007</v>
      </c>
      <c r="B5" s="3">
        <v>9.4</v>
      </c>
      <c r="C5" s="3">
        <v>100</v>
      </c>
      <c r="D5" s="3">
        <v>0.11</v>
      </c>
      <c r="E5" s="3">
        <v>51.67</v>
      </c>
      <c r="F5" s="3">
        <f>(B5-B$161)/B$162</f>
        <v>-0.2724327466031809</v>
      </c>
      <c r="G5" s="3">
        <f>(C5-C$161)/C$162</f>
        <v>1.1038758643818527</v>
      </c>
      <c r="H5" s="3">
        <f>(D5-D$161)/D$162</f>
        <v>-0.82857153422911789</v>
      </c>
      <c r="I5" s="3">
        <f>(E5-E$161)/E$162</f>
        <v>1.4010595579951524</v>
      </c>
      <c r="J5" s="2">
        <v>745398.59999999905</v>
      </c>
      <c r="K5" s="1">
        <v>3474765</v>
      </c>
      <c r="L5" s="3">
        <f>O5+P5*$G5+Q5*$H5+R5*$I5</f>
        <v>-0.75040318095142877</v>
      </c>
      <c r="M5" s="3">
        <f>L5*$B$162+$B$161</f>
        <v>6.6855633694997438</v>
      </c>
      <c r="N5" s="1">
        <v>0</v>
      </c>
      <c r="O5" s="3">
        <v>-0.29754170299999999</v>
      </c>
      <c r="P5" s="3">
        <v>-0.36655891800000001</v>
      </c>
      <c r="Q5" s="3">
        <v>0.15384221300000001</v>
      </c>
      <c r="R5" s="3">
        <v>5.6559581999999997E-2</v>
      </c>
      <c r="S5" s="3">
        <f>V5+W5*$G5+X5*$H5+Y5*$I5</f>
        <v>-0.64234617752812206</v>
      </c>
      <c r="T5" s="3">
        <f>S5*$B$162+$B$161</f>
        <v>7.2992287077633398</v>
      </c>
      <c r="U5" s="1">
        <v>2</v>
      </c>
      <c r="V5" s="3">
        <v>-0.13655372900000001</v>
      </c>
      <c r="W5" s="3">
        <v>-0.53975352499999996</v>
      </c>
      <c r="X5" s="3">
        <v>6.0196410000000001E-3</v>
      </c>
      <c r="Y5" s="3">
        <v>6.7817348E-2</v>
      </c>
      <c r="Z5" s="3">
        <f>AC5+AD5*$G5+AE5*$H5+AF5*$I5</f>
        <v>-0.75593916210070822</v>
      </c>
      <c r="AA5" s="3">
        <f>Z5*$B$162+$B$161</f>
        <v>6.6541240399147386</v>
      </c>
      <c r="AB5" s="1">
        <v>1</v>
      </c>
      <c r="AC5" s="3">
        <v>-0.27574183299999999</v>
      </c>
      <c r="AD5" s="3">
        <v>-0.23985341199999999</v>
      </c>
      <c r="AE5" s="3">
        <v>0.21363271</v>
      </c>
      <c r="AF5" s="3">
        <v>-2.7421357E-2</v>
      </c>
      <c r="AG5" s="3">
        <v>-0.23036768399999999</v>
      </c>
      <c r="AH5" s="3">
        <v>-0.35938659499999998</v>
      </c>
      <c r="AI5" s="3">
        <v>0.15274929700000001</v>
      </c>
      <c r="AJ5" s="3">
        <v>5.1037900999999997E-2</v>
      </c>
      <c r="AK5" s="3">
        <f>AN5+AO5*$G5+AP5*$H5+AQ5*$I5</f>
        <v>-0.75643207707822324</v>
      </c>
      <c r="AL5" s="3">
        <f>AK5*$B$162+$B$161</f>
        <v>6.6513247318937028</v>
      </c>
      <c r="AM5" s="1">
        <v>0</v>
      </c>
      <c r="AN5" s="3">
        <v>-0.25974846699999998</v>
      </c>
      <c r="AO5" s="3">
        <v>-0.46703683299999998</v>
      </c>
      <c r="AP5" s="3">
        <v>9.7003433E-2</v>
      </c>
      <c r="AQ5" s="3">
        <v>7.0833077999999994E-2</v>
      </c>
    </row>
    <row r="6" spans="1:43" x14ac:dyDescent="0.3">
      <c r="A6" s="1">
        <v>13009</v>
      </c>
      <c r="B6" s="3">
        <v>13.3</v>
      </c>
      <c r="C6" s="3">
        <v>42.7</v>
      </c>
      <c r="D6" s="3">
        <v>1.43</v>
      </c>
      <c r="E6" s="3">
        <v>42.39</v>
      </c>
      <c r="F6" s="3">
        <f>(B6-B$161)/B$162</f>
        <v>0.41429711587094359</v>
      </c>
      <c r="G6" s="3">
        <f>(C6-C$161)/C$162</f>
        <v>-1.0172448673901402</v>
      </c>
      <c r="H6" s="3">
        <f>(D6-D$161)/D$162</f>
        <v>0.24250874172559575</v>
      </c>
      <c r="I6" s="3">
        <f>(E6-E$161)/E$162</f>
        <v>0.86549600045466524</v>
      </c>
      <c r="J6" s="2">
        <v>849431.299999999</v>
      </c>
      <c r="K6" s="1">
        <v>3665553</v>
      </c>
      <c r="L6" s="3">
        <f>O6+P6*$G6+Q6*$H6+R6*$I6</f>
        <v>0.56635726159081379</v>
      </c>
      <c r="M6" s="3">
        <f>L6*$B$162+$B$161</f>
        <v>14.163563099136146</v>
      </c>
      <c r="N6" s="1">
        <v>1</v>
      </c>
      <c r="O6" s="3">
        <v>0.152735132</v>
      </c>
      <c r="P6" s="3">
        <v>-0.40878743200000001</v>
      </c>
      <c r="Q6" s="3">
        <v>0.37351620499999999</v>
      </c>
      <c r="R6" s="3">
        <v>-0.107216824</v>
      </c>
      <c r="S6" s="3">
        <f>V6+W6*$G6+X6*$H6+Y6*$I6</f>
        <v>0.47266323298197765</v>
      </c>
      <c r="T6" s="3">
        <f>S6*$B$162+$B$161</f>
        <v>13.631466372982448</v>
      </c>
      <c r="U6" s="1">
        <v>2</v>
      </c>
      <c r="V6" s="3">
        <v>-0.13655372900000001</v>
      </c>
      <c r="W6" s="3">
        <v>-0.53975352499999996</v>
      </c>
      <c r="X6" s="3">
        <v>6.0196410000000001E-3</v>
      </c>
      <c r="Y6" s="3">
        <v>6.7817348E-2</v>
      </c>
      <c r="Z6" s="3">
        <f>AC6+AD6*$G6+AE6*$H6+AF6*$I6</f>
        <v>0.82338703504775246</v>
      </c>
      <c r="AA6" s="3">
        <f>Z6*$B$162+$B$161</f>
        <v>15.623258055273038</v>
      </c>
      <c r="AB6" s="1">
        <v>0</v>
      </c>
      <c r="AC6" s="3">
        <v>0.54283203499999999</v>
      </c>
      <c r="AD6" s="3">
        <v>-0.49819849599999999</v>
      </c>
      <c r="AE6" s="3">
        <v>0.48327922000000001</v>
      </c>
      <c r="AF6" s="3">
        <v>-0.39680633799999998</v>
      </c>
      <c r="AG6" s="3">
        <v>0.19066196299999999</v>
      </c>
      <c r="AH6" s="3">
        <v>-0.24091752499999999</v>
      </c>
      <c r="AI6" s="3">
        <v>0.71627540700000003</v>
      </c>
      <c r="AJ6" s="3">
        <v>-0.16920186500000001</v>
      </c>
      <c r="AK6" s="3">
        <f>AN6+AO6*$G6+AP6*$H6+AQ6*$I6</f>
        <v>0.30017228044018252</v>
      </c>
      <c r="AL6" s="3">
        <f>AK6*$B$162+$B$161</f>
        <v>12.651874903799254</v>
      </c>
      <c r="AM6" s="1">
        <v>0</v>
      </c>
      <c r="AN6" s="3">
        <v>-0.25974846699999998</v>
      </c>
      <c r="AO6" s="3">
        <v>-0.46703683299999998</v>
      </c>
      <c r="AP6" s="3">
        <v>9.7003433E-2</v>
      </c>
      <c r="AQ6" s="3">
        <v>7.0833077999999994E-2</v>
      </c>
    </row>
    <row r="7" spans="1:43" x14ac:dyDescent="0.3">
      <c r="A7" s="1">
        <v>13011</v>
      </c>
      <c r="B7" s="3">
        <v>6.4</v>
      </c>
      <c r="C7" s="3">
        <v>100</v>
      </c>
      <c r="D7" s="3">
        <v>0.34</v>
      </c>
      <c r="E7" s="3">
        <v>3.49</v>
      </c>
      <c r="F7" s="3">
        <f>(B7-B$161)/B$162</f>
        <v>-0.80068648696789202</v>
      </c>
      <c r="G7" s="3">
        <f>(C7-C$161)/C$162</f>
        <v>1.1038758643818527</v>
      </c>
      <c r="H7" s="3">
        <f>(D7-D$161)/D$162</f>
        <v>-0.64194391038852383</v>
      </c>
      <c r="I7" s="3">
        <f>(E7-E$161)/E$162</f>
        <v>-1.3794848603562124</v>
      </c>
      <c r="J7" s="2">
        <v>819317.3</v>
      </c>
      <c r="K7" s="1">
        <v>3807616</v>
      </c>
      <c r="L7" s="3">
        <f>O7+P7*$G7+Q7*$H7+R7*$I7</f>
        <v>-0.39038791559514274</v>
      </c>
      <c r="M7" s="3">
        <f>L7*$B$162+$B$161</f>
        <v>8.73012209864984</v>
      </c>
      <c r="N7" s="1">
        <v>1</v>
      </c>
      <c r="O7" s="3">
        <v>0.152735132</v>
      </c>
      <c r="P7" s="3">
        <v>-0.40878743200000001</v>
      </c>
      <c r="Q7" s="3">
        <v>0.37351620499999999</v>
      </c>
      <c r="R7" s="3">
        <v>-0.107216824</v>
      </c>
      <c r="S7" s="3">
        <f>V7+W7*$G7+X7*$H7+Y7*$I7</f>
        <v>-0.67137840293044693</v>
      </c>
      <c r="T7" s="3">
        <f>S7*$B$162+$B$161</f>
        <v>7.1343521161714989</v>
      </c>
      <c r="U7" s="1">
        <v>1</v>
      </c>
      <c r="V7" s="3">
        <v>-0.18342203200000001</v>
      </c>
      <c r="W7" s="3">
        <v>-0.17380490200000001</v>
      </c>
      <c r="X7" s="3">
        <v>0.64175570999999998</v>
      </c>
      <c r="Y7" s="3">
        <v>-8.3997902999999999E-2</v>
      </c>
      <c r="Z7" s="3">
        <f>AC7+AD7*$G7+AE7*$H7+AF7*$I7</f>
        <v>-0.63982309590881137</v>
      </c>
      <c r="AA7" s="3">
        <f>Z7*$B$162+$B$161</f>
        <v>7.3135575128044668</v>
      </c>
      <c r="AB7" s="1">
        <v>1</v>
      </c>
      <c r="AC7" s="3">
        <v>-0.27574183299999999</v>
      </c>
      <c r="AD7" s="3">
        <v>-0.23985341199999999</v>
      </c>
      <c r="AE7" s="3">
        <v>0.21363271</v>
      </c>
      <c r="AF7" s="3">
        <v>-2.7421357E-2</v>
      </c>
      <c r="AG7" s="3">
        <v>0.16316330400000001</v>
      </c>
      <c r="AH7" s="3">
        <v>-0.30053795999999999</v>
      </c>
      <c r="AI7" s="3">
        <v>0.72171869799999999</v>
      </c>
      <c r="AJ7" s="3">
        <v>-8.4004307E-2</v>
      </c>
      <c r="AK7" s="3">
        <f>AN7+AO7*$G7+AP7*$H7+AQ7*$I7</f>
        <v>-0.71337273408032409</v>
      </c>
      <c r="AL7" s="3">
        <f>AK7*$B$162+$B$161</f>
        <v>6.8958625725619234</v>
      </c>
      <c r="AM7" s="1">
        <v>2</v>
      </c>
      <c r="AN7" s="3">
        <v>7.5780177000000004E-2</v>
      </c>
      <c r="AO7" s="3">
        <v>-0.16857382100000001</v>
      </c>
      <c r="AP7" s="3">
        <v>0.83152748499999996</v>
      </c>
      <c r="AQ7" s="3">
        <v>5.0217537999999999E-2</v>
      </c>
    </row>
    <row r="8" spans="1:43" x14ac:dyDescent="0.3">
      <c r="A8" s="1">
        <v>13013</v>
      </c>
      <c r="B8" s="3">
        <v>9.1999999999999904</v>
      </c>
      <c r="C8" s="3">
        <v>64.599999999999895</v>
      </c>
      <c r="D8" s="3">
        <v>0.92</v>
      </c>
      <c r="E8" s="3">
        <v>11.44</v>
      </c>
      <c r="F8" s="3">
        <f>(B8-B$161)/B$162</f>
        <v>-0.30764966262749671</v>
      </c>
      <c r="G8" s="3">
        <f>(C8-C$161)/C$162</f>
        <v>-0.20655474477571764</v>
      </c>
      <c r="H8" s="3">
        <f>(D8-D$161)/D$162</f>
        <v>-0.17131772852963445</v>
      </c>
      <c r="I8" s="3">
        <f>(E8-E$161)/E$162</f>
        <v>-0.9206777178511617</v>
      </c>
      <c r="J8" s="2">
        <v>803747.09999999905</v>
      </c>
      <c r="K8" s="1">
        <v>3769623</v>
      </c>
      <c r="L8" s="3">
        <f>O8+P8*$G8+Q8*$H8+R8*$I8</f>
        <v>0.27189430871024139</v>
      </c>
      <c r="M8" s="3">
        <f>L8*$B$162+$B$161</f>
        <v>12.491281785932728</v>
      </c>
      <c r="N8" s="1">
        <v>1</v>
      </c>
      <c r="O8" s="3">
        <v>0.152735132</v>
      </c>
      <c r="P8" s="3">
        <v>-0.40878743200000001</v>
      </c>
      <c r="Q8" s="3">
        <v>0.37351620499999999</v>
      </c>
      <c r="R8" s="3">
        <v>-0.107216824</v>
      </c>
      <c r="S8" s="3">
        <f>V8+W8*$G8+X8*$H8+Y8*$I8</f>
        <v>-0.18013093769642097</v>
      </c>
      <c r="T8" s="3">
        <f>S8*$B$162+$B$161</f>
        <v>9.9241901865741688</v>
      </c>
      <c r="U8" s="1">
        <v>1</v>
      </c>
      <c r="V8" s="3">
        <v>-0.18342203200000001</v>
      </c>
      <c r="W8" s="3">
        <v>-0.17380490200000001</v>
      </c>
      <c r="X8" s="3">
        <v>0.64175570999999998</v>
      </c>
      <c r="Y8" s="3">
        <v>-8.3997902999999999E-2</v>
      </c>
      <c r="Z8" s="3">
        <f>AC8+AD8*$G8+AE8*$H8+AF8*$I8</f>
        <v>0.92827375367166953</v>
      </c>
      <c r="AA8" s="3">
        <f>Z8*$B$162+$B$161</f>
        <v>16.218919064042247</v>
      </c>
      <c r="AB8" s="1">
        <v>0</v>
      </c>
      <c r="AC8" s="3">
        <v>0.54283203499999999</v>
      </c>
      <c r="AD8" s="3">
        <v>-0.49819849599999999</v>
      </c>
      <c r="AE8" s="3">
        <v>0.48327922000000001</v>
      </c>
      <c r="AF8" s="3">
        <v>-0.39680633799999998</v>
      </c>
      <c r="AG8" s="3">
        <v>0.16606586300000001</v>
      </c>
      <c r="AH8" s="3">
        <v>-0.296330225</v>
      </c>
      <c r="AI8" s="3">
        <v>0.71709664299999998</v>
      </c>
      <c r="AJ8" s="3">
        <v>-9.2238051000000001E-2</v>
      </c>
      <c r="AK8" s="3">
        <f>AN8+AO8*$G8+AP8*$H8+AQ8*$I8</f>
        <v>-7.8089668649581154E-2</v>
      </c>
      <c r="AL8" s="3">
        <f>AK8*$B$162+$B$161</f>
        <v>10.503691633983076</v>
      </c>
      <c r="AM8" s="1">
        <v>2</v>
      </c>
      <c r="AN8" s="3">
        <v>7.5780177000000004E-2</v>
      </c>
      <c r="AO8" s="3">
        <v>-0.16857382100000001</v>
      </c>
      <c r="AP8" s="3">
        <v>0.83152748499999996</v>
      </c>
      <c r="AQ8" s="3">
        <v>5.0217537999999999E-2</v>
      </c>
    </row>
    <row r="9" spans="1:43" x14ac:dyDescent="0.3">
      <c r="A9" s="1">
        <v>13015</v>
      </c>
      <c r="B9" s="3">
        <v>9</v>
      </c>
      <c r="C9" s="3">
        <v>75.2</v>
      </c>
      <c r="D9" s="3">
        <v>0.82</v>
      </c>
      <c r="E9" s="3">
        <v>9.2100000000000009</v>
      </c>
      <c r="F9" s="3">
        <f>(B9-B$161)/B$162</f>
        <v>-0.34286657865180914</v>
      </c>
      <c r="G9" s="3">
        <f>(C9-C$161)/C$162</f>
        <v>0.18583408169519608</v>
      </c>
      <c r="H9" s="3">
        <f>(D9-D$161)/D$162</f>
        <v>-0.25246017367771889</v>
      </c>
      <c r="I9" s="3">
        <f>(E9-E$161)/E$162</f>
        <v>-1.0493745641135848</v>
      </c>
      <c r="J9" s="2">
        <v>699011.5</v>
      </c>
      <c r="K9" s="1">
        <v>3793408</v>
      </c>
      <c r="L9" s="3">
        <f>O9+P9*$G9+Q9*$H9+R9*$I9</f>
        <v>-0.46385206143435587</v>
      </c>
      <c r="M9" s="3">
        <f>L9*$B$162+$B$161</f>
        <v>8.312912676970253</v>
      </c>
      <c r="N9" s="1">
        <v>0</v>
      </c>
      <c r="O9" s="3">
        <v>-0.29754170299999999</v>
      </c>
      <c r="P9" s="3">
        <v>-0.36655891800000001</v>
      </c>
      <c r="Q9" s="3">
        <v>0.15384221300000001</v>
      </c>
      <c r="R9" s="3">
        <v>5.6559581999999997E-2</v>
      </c>
      <c r="S9" s="3">
        <f>V9+W9*$G9+X9*$H9+Y9*$I9</f>
        <v>-0.28959340151548119</v>
      </c>
      <c r="T9" s="3">
        <f>S9*$B$162+$B$161</f>
        <v>9.30254311365338</v>
      </c>
      <c r="U9" s="1">
        <v>1</v>
      </c>
      <c r="V9" s="3">
        <v>-0.18342203200000001</v>
      </c>
      <c r="W9" s="3">
        <v>-0.17380490200000001</v>
      </c>
      <c r="X9" s="3">
        <v>0.64175570999999998</v>
      </c>
      <c r="Y9" s="3">
        <v>-8.3997902999999999E-2</v>
      </c>
      <c r="Z9" s="3">
        <f>AC9+AD9*$G9+AE9*$H9+AF9*$I9</f>
        <v>-0.34547324808104329</v>
      </c>
      <c r="AA9" s="3">
        <f>Z9*$B$162+$B$161</f>
        <v>8.9851964923479706</v>
      </c>
      <c r="AB9" s="1">
        <v>1</v>
      </c>
      <c r="AC9" s="3">
        <v>-0.27574183299999999</v>
      </c>
      <c r="AD9" s="3">
        <v>-0.23985341199999999</v>
      </c>
      <c r="AE9" s="3">
        <v>0.21363271</v>
      </c>
      <c r="AF9" s="3">
        <v>-2.7421357E-2</v>
      </c>
      <c r="AG9" s="3">
        <v>0.123357409</v>
      </c>
      <c r="AH9" s="3">
        <v>-0.26729574099999998</v>
      </c>
      <c r="AI9" s="3">
        <v>0.71584148599999997</v>
      </c>
      <c r="AJ9" s="3">
        <v>-4.8946479000000001E-2</v>
      </c>
      <c r="AK9" s="3">
        <f>AN9+AO9*$G9+AP9*$H9+AQ9*$I9</f>
        <v>-0.21817116455388952</v>
      </c>
      <c r="AL9" s="3">
        <f>AK9*$B$162+$B$161</f>
        <v>9.7081563531106969</v>
      </c>
      <c r="AM9" s="1">
        <v>2</v>
      </c>
      <c r="AN9" s="3">
        <v>7.5780177000000004E-2</v>
      </c>
      <c r="AO9" s="3">
        <v>-0.16857382100000001</v>
      </c>
      <c r="AP9" s="3">
        <v>0.83152748499999996</v>
      </c>
      <c r="AQ9" s="3">
        <v>5.0217537999999999E-2</v>
      </c>
    </row>
    <row r="10" spans="1:43" x14ac:dyDescent="0.3">
      <c r="A10" s="1">
        <v>13017</v>
      </c>
      <c r="B10" s="3">
        <v>7.6</v>
      </c>
      <c r="C10" s="3">
        <v>47</v>
      </c>
      <c r="D10" s="3">
        <v>0.33</v>
      </c>
      <c r="E10" s="3">
        <v>31.329999999999899</v>
      </c>
      <c r="F10" s="3">
        <f>(B10-B$161)/B$162</f>
        <v>-0.58938499082200768</v>
      </c>
      <c r="G10" s="3">
        <f>(C10-C$161)/C$162</f>
        <v>-0.85806826797269586</v>
      </c>
      <c r="H10" s="3">
        <f>(D10-D$161)/D$162</f>
        <v>-0.65005815490333219</v>
      </c>
      <c r="I10" s="3">
        <f>(E10-E$161)/E$162</f>
        <v>0.22720581226524272</v>
      </c>
      <c r="J10" s="2">
        <v>863020.8</v>
      </c>
      <c r="K10" s="1">
        <v>3520432</v>
      </c>
      <c r="L10" s="3">
        <f>O10+P10*$G10+Q10*$H10+R10*$I10</f>
        <v>-7.0164846481127391E-2</v>
      </c>
      <c r="M10" s="3">
        <f>L10*$B$162+$B$161</f>
        <v>10.548697404295174</v>
      </c>
      <c r="N10" s="1">
        <v>0</v>
      </c>
      <c r="O10" s="3">
        <v>-0.29754170299999999</v>
      </c>
      <c r="P10" s="3">
        <v>-0.36655891800000001</v>
      </c>
      <c r="Q10" s="3">
        <v>0.15384221300000001</v>
      </c>
      <c r="R10" s="3">
        <v>5.6559581999999997E-2</v>
      </c>
      <c r="S10" s="3">
        <f>V10+W10*$G10+X10*$H10+Y10*$I10</f>
        <v>-0.33678982611095254</v>
      </c>
      <c r="T10" s="3">
        <f>S10*$B$162+$B$161</f>
        <v>9.034510418440167</v>
      </c>
      <c r="U10" s="1">
        <v>0</v>
      </c>
      <c r="V10" s="3">
        <v>-0.54906074100000002</v>
      </c>
      <c r="W10" s="3">
        <v>-0.34651111899999998</v>
      </c>
      <c r="X10" s="3">
        <v>0.18161730300000001</v>
      </c>
      <c r="Y10" s="3">
        <v>0.14525389</v>
      </c>
      <c r="Z10" s="3">
        <f>AC10+AD10*$G10+AE10*$H10+AF10*$I10</f>
        <v>-0.21503520817801741</v>
      </c>
      <c r="AA10" s="3">
        <f>Z10*$B$162+$B$161</f>
        <v>9.7259657284330956</v>
      </c>
      <c r="AB10" s="1">
        <v>1</v>
      </c>
      <c r="AC10" s="3">
        <v>-0.27574183299999999</v>
      </c>
      <c r="AD10" s="3">
        <v>-0.23985341199999999</v>
      </c>
      <c r="AE10" s="3">
        <v>0.21363271</v>
      </c>
      <c r="AF10" s="3">
        <v>-2.7421357E-2</v>
      </c>
      <c r="AG10" s="3">
        <v>-0.26921577899999999</v>
      </c>
      <c r="AH10" s="3">
        <v>-0.37247221200000002</v>
      </c>
      <c r="AI10" s="3">
        <v>0.20975298000000001</v>
      </c>
      <c r="AJ10" s="3">
        <v>9.5859884000000006E-2</v>
      </c>
      <c r="AK10" s="3">
        <f>AN10+AO10*$G10+AP10*$H10+AQ10*$I10</f>
        <v>9.4036833718731519E-2</v>
      </c>
      <c r="AL10" s="3">
        <f>AK10*$B$162+$B$161</f>
        <v>11.481213358199216</v>
      </c>
      <c r="AM10" s="1">
        <v>0</v>
      </c>
      <c r="AN10" s="3">
        <v>-0.25974846699999998</v>
      </c>
      <c r="AO10" s="3">
        <v>-0.46703683299999998</v>
      </c>
      <c r="AP10" s="3">
        <v>9.7003433E-2</v>
      </c>
      <c r="AQ10" s="3">
        <v>7.0833077999999994E-2</v>
      </c>
    </row>
    <row r="11" spans="1:43" x14ac:dyDescent="0.3">
      <c r="A11" s="1">
        <v>13019</v>
      </c>
      <c r="B11" s="3">
        <v>7.5</v>
      </c>
      <c r="C11" s="3">
        <v>66.2</v>
      </c>
      <c r="D11" s="3">
        <v>1.19</v>
      </c>
      <c r="E11" s="3">
        <v>11.6199999999999</v>
      </c>
      <c r="F11" s="3">
        <f>(B11-B$161)/B$162</f>
        <v>-0.60699344883416462</v>
      </c>
      <c r="G11" s="3">
        <f>(C11-C$161)/C$162</f>
        <v>-0.14732624266689709</v>
      </c>
      <c r="H11" s="3">
        <f>(D11-D$161)/D$162</f>
        <v>4.7766873370193273E-2</v>
      </c>
      <c r="I11" s="3">
        <f>(E11-E$161)/E$162</f>
        <v>-0.91028963160577014</v>
      </c>
      <c r="J11" s="2">
        <v>859915.8</v>
      </c>
      <c r="K11" s="1">
        <v>3466377</v>
      </c>
      <c r="L11" s="3">
        <f>O11+P11*$G11+Q11*$H11+R11*$I11</f>
        <v>-0.28767499445021183</v>
      </c>
      <c r="M11" s="3">
        <f>L11*$B$162+$B$161</f>
        <v>9.3134379180930686</v>
      </c>
      <c r="N11" s="1">
        <v>0</v>
      </c>
      <c r="O11" s="3">
        <v>-0.29754170299999999</v>
      </c>
      <c r="P11" s="3">
        <v>-0.36655891800000001</v>
      </c>
      <c r="Q11" s="3">
        <v>0.15384221300000001</v>
      </c>
      <c r="R11" s="3">
        <v>5.6559581999999997E-2</v>
      </c>
      <c r="S11" s="3">
        <f>V11+W11*$G11+X11*$H11+Y11*$I11</f>
        <v>-0.11847975949355621</v>
      </c>
      <c r="T11" s="3">
        <f>S11*$B$162+$B$161</f>
        <v>10.274312713829538</v>
      </c>
      <c r="U11" s="1">
        <v>2</v>
      </c>
      <c r="V11" s="3">
        <v>-0.13655372900000001</v>
      </c>
      <c r="W11" s="3">
        <v>-0.53975352499999996</v>
      </c>
      <c r="X11" s="3">
        <v>6.0196410000000001E-3</v>
      </c>
      <c r="Y11" s="3">
        <v>6.7817348E-2</v>
      </c>
      <c r="Z11" s="3">
        <f>AC11+AD11*$G11+AE11*$H11+AF11*$I11</f>
        <v>-0.2052391874512432</v>
      </c>
      <c r="AA11" s="3">
        <f>Z11*$B$162+$B$161</f>
        <v>9.7815982018729102</v>
      </c>
      <c r="AB11" s="1">
        <v>1</v>
      </c>
      <c r="AC11" s="3">
        <v>-0.27574183299999999</v>
      </c>
      <c r="AD11" s="3">
        <v>-0.23985341199999999</v>
      </c>
      <c r="AE11" s="3">
        <v>0.21363271</v>
      </c>
      <c r="AF11" s="3">
        <v>-2.7421357E-2</v>
      </c>
      <c r="AG11" s="3">
        <v>-0.28700586500000003</v>
      </c>
      <c r="AH11" s="3">
        <v>-0.39369058600000001</v>
      </c>
      <c r="AI11" s="3">
        <v>0.15228428599999999</v>
      </c>
      <c r="AJ11" s="3">
        <v>9.8867079999999996E-2</v>
      </c>
      <c r="AK11" s="3">
        <f>AN11+AO11*$G11+AP11*$H11+AQ11*$I11</f>
        <v>-0.25078675098460068</v>
      </c>
      <c r="AL11" s="3">
        <f>AK11*$B$162+$B$161</f>
        <v>9.5229295353609942</v>
      </c>
      <c r="AM11" s="1">
        <v>0</v>
      </c>
      <c r="AN11" s="3">
        <v>-0.25974846699999998</v>
      </c>
      <c r="AO11" s="3">
        <v>-0.46703683299999998</v>
      </c>
      <c r="AP11" s="3">
        <v>9.7003433E-2</v>
      </c>
      <c r="AQ11" s="3">
        <v>7.0833077999999994E-2</v>
      </c>
    </row>
    <row r="12" spans="1:43" x14ac:dyDescent="0.3">
      <c r="A12" s="1">
        <v>13021</v>
      </c>
      <c r="B12" s="3">
        <v>17</v>
      </c>
      <c r="C12" s="3">
        <v>16.100000000000001</v>
      </c>
      <c r="D12" s="3">
        <v>1.06</v>
      </c>
      <c r="E12" s="3">
        <v>41.68</v>
      </c>
      <c r="F12" s="3">
        <f>(B12-B$161)/B$162</f>
        <v>1.0658100623207538</v>
      </c>
      <c r="G12" s="3">
        <f>(C12-C$161)/C$162</f>
        <v>-2.0019187149492157</v>
      </c>
      <c r="H12" s="3">
        <f>(D12-D$161)/D$162</f>
        <v>-5.7718305322316331E-2</v>
      </c>
      <c r="I12" s="3">
        <f>(E12-E$161)/E$162</f>
        <v>0.82452077137559776</v>
      </c>
      <c r="J12" s="2">
        <v>809736.9</v>
      </c>
      <c r="K12" s="1">
        <v>3636468</v>
      </c>
      <c r="L12" s="3">
        <f>O12+P12*$G12+Q12*$H12+R12*$I12</f>
        <v>0.86113312176488532</v>
      </c>
      <c r="M12" s="3">
        <f>L12*$B$162+$B$161</f>
        <v>15.837621440704474</v>
      </c>
      <c r="N12" s="1">
        <v>1</v>
      </c>
      <c r="O12" s="3">
        <v>0.152735132</v>
      </c>
      <c r="P12" s="3">
        <v>-0.40878743200000001</v>
      </c>
      <c r="Q12" s="3">
        <v>0.37351620499999999</v>
      </c>
      <c r="R12" s="3">
        <v>-0.107216824</v>
      </c>
      <c r="S12" s="3">
        <f>V12+W12*$G12+X12*$H12+Y12*$I12</f>
        <v>0.5131235855583054</v>
      </c>
      <c r="T12" s="3">
        <f>S12*$B$162+$B$161</f>
        <v>13.861244315766498</v>
      </c>
      <c r="U12" s="1">
        <v>3</v>
      </c>
      <c r="V12" s="3">
        <v>0.57876851500000004</v>
      </c>
      <c r="W12" s="3">
        <v>-0.118666143</v>
      </c>
      <c r="X12" s="3">
        <v>1.1943427209999999</v>
      </c>
      <c r="Y12" s="3">
        <v>-0.28412803199999997</v>
      </c>
      <c r="Z12" s="3">
        <f>AC12+AD12*$G12+AE12*$H12+AF12*$I12</f>
        <v>1.1851158024315751</v>
      </c>
      <c r="AA12" s="3">
        <f>Z12*$B$162+$B$161</f>
        <v>17.677547914919362</v>
      </c>
      <c r="AB12" s="1">
        <v>0</v>
      </c>
      <c r="AC12" s="3">
        <v>0.54283203499999999</v>
      </c>
      <c r="AD12" s="3">
        <v>-0.49819849599999999</v>
      </c>
      <c r="AE12" s="3">
        <v>0.48327922000000001</v>
      </c>
      <c r="AF12" s="3">
        <v>-0.39680633799999998</v>
      </c>
      <c r="AG12" s="3">
        <v>0.156814167</v>
      </c>
      <c r="AH12" s="3">
        <v>-0.26529281700000001</v>
      </c>
      <c r="AI12" s="3">
        <v>0.59890625799999997</v>
      </c>
      <c r="AJ12" s="3">
        <v>-0.16102090499999999</v>
      </c>
      <c r="AK12" s="3">
        <f>AN12+AO12*$G12+AP12*$H12+AQ12*$I12</f>
        <v>0.72802577990157236</v>
      </c>
      <c r="AL12" s="3">
        <f>AK12*$B$162+$B$161</f>
        <v>15.081693001249899</v>
      </c>
      <c r="AM12" s="1">
        <v>0</v>
      </c>
      <c r="AN12" s="3">
        <v>-0.25974846699999998</v>
      </c>
      <c r="AO12" s="3">
        <v>-0.46703683299999998</v>
      </c>
      <c r="AP12" s="3">
        <v>9.7003433E-2</v>
      </c>
      <c r="AQ12" s="3">
        <v>7.0833077999999994E-2</v>
      </c>
    </row>
    <row r="13" spans="1:43" x14ac:dyDescent="0.3">
      <c r="A13" s="1">
        <v>13023</v>
      </c>
      <c r="B13" s="3">
        <v>10.3</v>
      </c>
      <c r="C13" s="3">
        <v>57.899999999999899</v>
      </c>
      <c r="D13" s="3">
        <v>0.64</v>
      </c>
      <c r="E13" s="3">
        <v>22.3599999999999</v>
      </c>
      <c r="F13" s="3">
        <f>(B13-B$161)/B$162</f>
        <v>-0.11395662449376752</v>
      </c>
      <c r="G13" s="3">
        <f>(C13-C$161)/C$162</f>
        <v>-0.45457409735638682</v>
      </c>
      <c r="H13" s="3">
        <f>(D13-D$161)/D$162</f>
        <v>-0.39851657494427073</v>
      </c>
      <c r="I13" s="3">
        <f>(E13-E$161)/E$162</f>
        <v>-0.29046715229705988</v>
      </c>
      <c r="J13" s="2">
        <v>844270.09999999905</v>
      </c>
      <c r="K13" s="1">
        <v>3595691</v>
      </c>
      <c r="L13" s="3">
        <f>O13+P13*$G13+Q13*$H13+R13*$I13</f>
        <v>-0.20865088624747519</v>
      </c>
      <c r="M13" s="3">
        <f>L13*$B$162+$B$161</f>
        <v>9.7622228608074035</v>
      </c>
      <c r="N13" s="1">
        <v>0</v>
      </c>
      <c r="O13" s="3">
        <v>-0.29754170299999999</v>
      </c>
      <c r="P13" s="3">
        <v>-0.36655891800000001</v>
      </c>
      <c r="Q13" s="3">
        <v>0.15384221300000001</v>
      </c>
      <c r="R13" s="3">
        <v>5.6559581999999997E-2</v>
      </c>
      <c r="S13" s="3">
        <f>V13+W13*$G13+X13*$H13+Y13*$I13</f>
        <v>8.6706603758190101E-2</v>
      </c>
      <c r="T13" s="3">
        <f>S13*$B$162+$B$161</f>
        <v>11.439584329947676</v>
      </c>
      <c r="U13" s="1">
        <v>2</v>
      </c>
      <c r="V13" s="3">
        <v>-0.13655372900000001</v>
      </c>
      <c r="W13" s="3">
        <v>-0.53975352499999996</v>
      </c>
      <c r="X13" s="3">
        <v>6.0196410000000001E-3</v>
      </c>
      <c r="Y13" s="3">
        <v>6.7817348E-2</v>
      </c>
      <c r="Z13" s="3">
        <f>AC13+AD13*$G13+AE13*$H13+AF13*$I13</f>
        <v>-0.24388185714760199</v>
      </c>
      <c r="AA13" s="3">
        <f>Z13*$B$162+$B$161</f>
        <v>9.5621430419169418</v>
      </c>
      <c r="AB13" s="1">
        <v>1</v>
      </c>
      <c r="AC13" s="3">
        <v>-0.27574183299999999</v>
      </c>
      <c r="AD13" s="3">
        <v>-0.23985341199999999</v>
      </c>
      <c r="AE13" s="3">
        <v>0.21363271</v>
      </c>
      <c r="AF13" s="3">
        <v>-2.7421357E-2</v>
      </c>
      <c r="AG13" s="3">
        <v>-6.7586502000000007E-2</v>
      </c>
      <c r="AH13" s="3">
        <v>-0.31752573099999998</v>
      </c>
      <c r="AI13" s="3">
        <v>0.41596720599999998</v>
      </c>
      <c r="AJ13" s="3">
        <v>-2.8764069E-2</v>
      </c>
      <c r="AK13" s="3">
        <f>AN13+AO13*$G13+AP13*$H13+AQ13*$I13</f>
        <v>-0.10667777853893098</v>
      </c>
      <c r="AL13" s="3">
        <f>AK13*$B$162+$B$161</f>
        <v>10.341337213910561</v>
      </c>
      <c r="AM13" s="1">
        <v>0</v>
      </c>
      <c r="AN13" s="3">
        <v>-0.25974846699999998</v>
      </c>
      <c r="AO13" s="3">
        <v>-0.46703683299999998</v>
      </c>
      <c r="AP13" s="3">
        <v>9.7003433E-2</v>
      </c>
      <c r="AQ13" s="3">
        <v>7.0833077999999994E-2</v>
      </c>
    </row>
    <row r="14" spans="1:43" x14ac:dyDescent="0.3">
      <c r="A14" s="1">
        <v>13025</v>
      </c>
      <c r="B14" s="3">
        <v>5.8</v>
      </c>
      <c r="C14" s="3">
        <v>100</v>
      </c>
      <c r="D14" s="3">
        <v>0.33</v>
      </c>
      <c r="E14" s="3">
        <v>4.58</v>
      </c>
      <c r="F14" s="3">
        <f>(B14-B$161)/B$162</f>
        <v>-0.9063372350408343</v>
      </c>
      <c r="G14" s="3">
        <f>(C14-C$161)/C$162</f>
        <v>1.1038758643818527</v>
      </c>
      <c r="H14" s="3">
        <f>(D14-D$161)/D$162</f>
        <v>-0.65005815490333219</v>
      </c>
      <c r="I14" s="3">
        <f>(E14-E$161)/E$162</f>
        <v>-1.3165792269813064</v>
      </c>
      <c r="J14" s="2">
        <v>979288.9</v>
      </c>
      <c r="K14" s="1">
        <v>3463849</v>
      </c>
      <c r="L14" s="3">
        <f>O14+P14*$G14+Q14*$H14+R14*$I14</f>
        <v>-0.87664880133109779</v>
      </c>
      <c r="M14" s="3">
        <f>L14*$B$162+$B$161</f>
        <v>5.9686032569645757</v>
      </c>
      <c r="N14" s="1">
        <v>0</v>
      </c>
      <c r="O14" s="3">
        <v>-0.29754170299999999</v>
      </c>
      <c r="P14" s="3">
        <v>-0.36655891800000001</v>
      </c>
      <c r="Q14" s="3">
        <v>0.15384221300000001</v>
      </c>
      <c r="R14" s="3">
        <v>5.6559581999999997E-2</v>
      </c>
      <c r="S14" s="3">
        <f>V14+W14*$G14+X14*$H14+Y14*$I14</f>
        <v>-0.8255746462899296</v>
      </c>
      <c r="T14" s="3">
        <f>S14*$B$162+$B$161</f>
        <v>6.2586579284520285</v>
      </c>
      <c r="U14" s="1">
        <v>2</v>
      </c>
      <c r="V14" s="3">
        <v>-0.13655372900000001</v>
      </c>
      <c r="W14" s="3">
        <v>-0.53975352499999996</v>
      </c>
      <c r="X14" s="3">
        <v>6.0196410000000001E-3</v>
      </c>
      <c r="Y14" s="3">
        <v>6.7817348E-2</v>
      </c>
      <c r="Z14" s="3">
        <f>AC14+AD14*$G14+AE14*$H14+AF14*$I14</f>
        <v>-0.64328152178419684</v>
      </c>
      <c r="AA14" s="3">
        <f>Z14*$B$162+$B$161</f>
        <v>7.2939168044982781</v>
      </c>
      <c r="AB14" s="1">
        <v>1</v>
      </c>
      <c r="AC14" s="3">
        <v>-0.27574183299999999</v>
      </c>
      <c r="AD14" s="3">
        <v>-0.23985341199999999</v>
      </c>
      <c r="AE14" s="3">
        <v>0.21363271</v>
      </c>
      <c r="AF14" s="3">
        <v>-2.7421357E-2</v>
      </c>
      <c r="AG14" s="3">
        <v>-0.24486047</v>
      </c>
      <c r="AH14" s="3">
        <v>-0.45146350600000001</v>
      </c>
      <c r="AI14" s="3">
        <v>0.18238644400000001</v>
      </c>
      <c r="AJ14" s="3">
        <v>6.3754103000000006E-2</v>
      </c>
      <c r="AK14" s="3">
        <f>AN14+AO14*$G14+AP14*$H14+AQ14*$I14</f>
        <v>-0.93161438647925343</v>
      </c>
      <c r="AL14" s="3">
        <f>AK14*$B$162+$B$161</f>
        <v>5.6564488076073012</v>
      </c>
      <c r="AM14" s="1">
        <v>0</v>
      </c>
      <c r="AN14" s="3">
        <v>-0.25974846699999998</v>
      </c>
      <c r="AO14" s="3">
        <v>-0.46703683299999998</v>
      </c>
      <c r="AP14" s="3">
        <v>9.7003433E-2</v>
      </c>
      <c r="AQ14" s="3">
        <v>7.0833077999999994E-2</v>
      </c>
    </row>
    <row r="15" spans="1:43" x14ac:dyDescent="0.3">
      <c r="A15" s="1">
        <v>13027</v>
      </c>
      <c r="B15" s="3">
        <v>9.1</v>
      </c>
      <c r="C15" s="3">
        <v>65.599999999999895</v>
      </c>
      <c r="D15" s="3">
        <v>1.76</v>
      </c>
      <c r="E15" s="3">
        <v>41.469999999999899</v>
      </c>
      <c r="F15" s="3">
        <f>(B15-B$161)/B$162</f>
        <v>-0.32525812063965215</v>
      </c>
      <c r="G15" s="3">
        <f>(C15-C$161)/C$162</f>
        <v>-0.16953693095770728</v>
      </c>
      <c r="H15" s="3">
        <f>(D15-D$161)/D$162</f>
        <v>0.51027881071427428</v>
      </c>
      <c r="I15" s="3">
        <f>(E15-E$161)/E$162</f>
        <v>0.81240133742262843</v>
      </c>
      <c r="J15" s="2">
        <v>827822</v>
      </c>
      <c r="K15" s="1">
        <v>3421638</v>
      </c>
      <c r="L15" s="3">
        <f>O15+P15*$G15+Q15*$H15+R15*$I15</f>
        <v>-0.11094492747894522</v>
      </c>
      <c r="M15" s="3">
        <f>L15*$B$162+$B$161</f>
        <v>10.317103695353353</v>
      </c>
      <c r="N15" s="1">
        <v>0</v>
      </c>
      <c r="O15" s="3">
        <v>-0.29754170299999999</v>
      </c>
      <c r="P15" s="3">
        <v>-0.36655891800000001</v>
      </c>
      <c r="Q15" s="3">
        <v>0.15384221300000001</v>
      </c>
      <c r="R15" s="3">
        <v>5.6559581999999997E-2</v>
      </c>
      <c r="S15" s="3">
        <f>V15+W15*$G15+X15*$H15+Y15*$I15</f>
        <v>1.3121026568166806E-2</v>
      </c>
      <c r="T15" s="3">
        <f>S15*$B$162+$B$161</f>
        <v>11.021685288820855</v>
      </c>
      <c r="U15" s="1">
        <v>2</v>
      </c>
      <c r="V15" s="3">
        <v>-0.13655372900000001</v>
      </c>
      <c r="W15" s="3">
        <v>-0.53975352499999996</v>
      </c>
      <c r="X15" s="3">
        <v>6.0196410000000001E-3</v>
      </c>
      <c r="Y15" s="3">
        <v>6.7817348E-2</v>
      </c>
      <c r="Z15" s="3">
        <f>AC15+AD15*$G15+AE15*$H15+AF15*$I15</f>
        <v>-0.14834272356206135</v>
      </c>
      <c r="AA15" s="3">
        <f>Z15*$B$162+$B$161</f>
        <v>10.104718283426333</v>
      </c>
      <c r="AB15" s="1">
        <v>1</v>
      </c>
      <c r="AC15" s="3">
        <v>-0.27574183299999999</v>
      </c>
      <c r="AD15" s="3">
        <v>-0.23985341199999999</v>
      </c>
      <c r="AE15" s="3">
        <v>0.21363271</v>
      </c>
      <c r="AF15" s="3">
        <v>-2.7421357E-2</v>
      </c>
      <c r="AG15" s="3">
        <v>-0.29442963900000002</v>
      </c>
      <c r="AH15" s="3">
        <v>-0.39012506299999999</v>
      </c>
      <c r="AI15" s="3">
        <v>0.126732705</v>
      </c>
      <c r="AJ15" s="3">
        <v>9.9671645000000003E-2</v>
      </c>
      <c r="AK15" s="3">
        <f>AN15+AO15*$G15+AP15*$H15+AQ15*$I15</f>
        <v>-7.352479196156958E-2</v>
      </c>
      <c r="AL15" s="3">
        <f>AK15*$B$162+$B$161</f>
        <v>10.529615974915485</v>
      </c>
      <c r="AM15" s="1">
        <v>0</v>
      </c>
      <c r="AN15" s="3">
        <v>-0.25974846699999998</v>
      </c>
      <c r="AO15" s="3">
        <v>-0.46703683299999998</v>
      </c>
      <c r="AP15" s="3">
        <v>9.7003433E-2</v>
      </c>
      <c r="AQ15" s="3">
        <v>7.0833077999999994E-2</v>
      </c>
    </row>
    <row r="16" spans="1:43" x14ac:dyDescent="0.3">
      <c r="A16" s="1">
        <v>13029</v>
      </c>
      <c r="B16" s="3">
        <v>11.8</v>
      </c>
      <c r="C16" s="3">
        <v>80.599999999999895</v>
      </c>
      <c r="D16" s="3">
        <v>0.45</v>
      </c>
      <c r="E16" s="3">
        <v>14.85</v>
      </c>
      <c r="F16" s="3">
        <f>(B16-B$161)/B$162</f>
        <v>0.15017024568858803</v>
      </c>
      <c r="G16" s="3">
        <f>(C16-C$161)/C$162</f>
        <v>0.38573027631244794</v>
      </c>
      <c r="H16" s="3">
        <f>(D16-D$161)/D$162</f>
        <v>-0.55268722072563103</v>
      </c>
      <c r="I16" s="3">
        <f>(E16-E$161)/E$162</f>
        <v>-0.72388119509113358</v>
      </c>
      <c r="J16" s="2">
        <v>1023145</v>
      </c>
      <c r="K16" s="1">
        <v>3554982</v>
      </c>
      <c r="L16" s="3">
        <f>O16+P16*$G16+Q16*$H16+R16*$I16</f>
        <v>-0.13377194764485534</v>
      </c>
      <c r="M16" s="3">
        <f>L16*$B$162+$B$161</f>
        <v>10.187467016490558</v>
      </c>
      <c r="N16" s="1">
        <v>1</v>
      </c>
      <c r="O16" s="3">
        <v>0.152735132</v>
      </c>
      <c r="P16" s="3">
        <v>-0.40878743200000001</v>
      </c>
      <c r="Q16" s="3">
        <v>0.37351620499999999</v>
      </c>
      <c r="R16" s="3">
        <v>-0.107216824</v>
      </c>
      <c r="S16" s="3">
        <f>V16+W16*$G16+X16*$H16+Y16*$I16</f>
        <v>-0.39717168691107513</v>
      </c>
      <c r="T16" s="3">
        <f>S16*$B$162+$B$161</f>
        <v>8.6915964576695295</v>
      </c>
      <c r="U16" s="1">
        <v>2</v>
      </c>
      <c r="V16" s="3">
        <v>-0.13655372900000001</v>
      </c>
      <c r="W16" s="3">
        <v>-0.53975352499999996</v>
      </c>
      <c r="X16" s="3">
        <v>6.0196410000000001E-3</v>
      </c>
      <c r="Y16" s="3">
        <v>6.7817348E-2</v>
      </c>
      <c r="Z16" s="3">
        <f>AC16+AD16*$G16+AE16*$H16+AF16*$I16</f>
        <v>0.37080018871439951</v>
      </c>
      <c r="AA16" s="3">
        <f>Z16*$B$162+$B$161</f>
        <v>13.052977079954911</v>
      </c>
      <c r="AB16" s="1">
        <v>0</v>
      </c>
      <c r="AC16" s="3">
        <v>0.54283203499999999</v>
      </c>
      <c r="AD16" s="3">
        <v>-0.49819849599999999</v>
      </c>
      <c r="AE16" s="3">
        <v>0.48327922000000001</v>
      </c>
      <c r="AF16" s="3">
        <v>-0.39680633799999998</v>
      </c>
      <c r="AG16" s="3">
        <v>-0.16288288100000001</v>
      </c>
      <c r="AH16" s="3">
        <v>-0.442953504</v>
      </c>
      <c r="AI16" s="3">
        <v>0.27611671700000001</v>
      </c>
      <c r="AJ16" s="3">
        <v>-5.848336E-3</v>
      </c>
      <c r="AK16" s="3">
        <f>AN16+AO16*$G16+AP16*$H16+AQ16*$I16</f>
        <v>-0.54478600458141901</v>
      </c>
      <c r="AL16" s="3">
        <f>AK16*$B$162+$B$161</f>
        <v>7.8532816116538831</v>
      </c>
      <c r="AM16" s="1">
        <v>0</v>
      </c>
      <c r="AN16" s="3">
        <v>-0.25974846699999998</v>
      </c>
      <c r="AO16" s="3">
        <v>-0.46703683299999998</v>
      </c>
      <c r="AP16" s="3">
        <v>9.7003433E-2</v>
      </c>
      <c r="AQ16" s="3">
        <v>7.0833077999999994E-2</v>
      </c>
    </row>
    <row r="17" spans="1:43" x14ac:dyDescent="0.3">
      <c r="A17" s="1">
        <v>13031</v>
      </c>
      <c r="B17" s="3">
        <v>19.899999999999899</v>
      </c>
      <c r="C17" s="3">
        <v>63.2</v>
      </c>
      <c r="D17" s="3">
        <v>1.1599999999999999</v>
      </c>
      <c r="E17" s="3">
        <v>25.9499999999999</v>
      </c>
      <c r="F17" s="3">
        <f>(B17-B$161)/B$162</f>
        <v>1.5764553446732901</v>
      </c>
      <c r="G17" s="3">
        <f>(C17-C$161)/C$162</f>
        <v>-0.2583796841209281</v>
      </c>
      <c r="H17" s="3">
        <f>(D17-D$161)/D$162</f>
        <v>2.3424139825767937E-2</v>
      </c>
      <c r="I17" s="3">
        <f>(E17-E$161)/E$162</f>
        <v>-8.3282543291634398E-2</v>
      </c>
      <c r="J17" s="2">
        <v>994903.4</v>
      </c>
      <c r="K17" s="1">
        <v>3600493</v>
      </c>
      <c r="L17" s="3">
        <f>O17+P17*$G17+Q17*$H17+R17*$I17</f>
        <v>0.27603608515224709</v>
      </c>
      <c r="M17" s="3">
        <f>L17*$B$162+$B$161</f>
        <v>12.514803302917043</v>
      </c>
      <c r="N17" s="1">
        <v>1</v>
      </c>
      <c r="O17" s="3">
        <v>0.152735132</v>
      </c>
      <c r="P17" s="3">
        <v>-0.40878743200000001</v>
      </c>
      <c r="Q17" s="3">
        <v>0.37351620499999999</v>
      </c>
      <c r="R17" s="3">
        <v>-0.107216824</v>
      </c>
      <c r="S17" s="3">
        <f>V17+W17*$G17+X17*$H17+Y17*$I17</f>
        <v>0.66106879156618803</v>
      </c>
      <c r="T17" s="3">
        <f>S17*$B$162+$B$161</f>
        <v>14.701438306096259</v>
      </c>
      <c r="U17" s="1">
        <v>3</v>
      </c>
      <c r="V17" s="3">
        <v>0.57876851500000004</v>
      </c>
      <c r="W17" s="3">
        <v>-0.118666143</v>
      </c>
      <c r="X17" s="3">
        <v>1.1943427209999999</v>
      </c>
      <c r="Y17" s="3">
        <v>-0.28412803199999997</v>
      </c>
      <c r="Z17" s="3">
        <f>AC17+AD17*$G17+AE17*$H17+AF17*$I17</f>
        <v>0.71592384607304937</v>
      </c>
      <c r="AA17" s="3">
        <f>Z17*$B$162+$B$161</f>
        <v>15.012965042105675</v>
      </c>
      <c r="AB17" s="1">
        <v>0</v>
      </c>
      <c r="AC17" s="3">
        <v>0.54283203499999999</v>
      </c>
      <c r="AD17" s="3">
        <v>-0.49819849599999999</v>
      </c>
      <c r="AE17" s="3">
        <v>0.48327922000000001</v>
      </c>
      <c r="AF17" s="3">
        <v>-0.39680633799999998</v>
      </c>
      <c r="AG17" s="3">
        <v>-9.5859752000000006E-2</v>
      </c>
      <c r="AH17" s="3">
        <v>-0.40230194699999999</v>
      </c>
      <c r="AI17" s="3">
        <v>0.36953769199999997</v>
      </c>
      <c r="AJ17" s="3">
        <v>-5.02692E-2</v>
      </c>
      <c r="AK17" s="3">
        <f>AN17+AO17*$G17+AP17*$H17+AQ17*$I17</f>
        <v>0.13463179941616274</v>
      </c>
      <c r="AL17" s="3">
        <f>AK17*$B$162+$B$161</f>
        <v>11.711755780877024</v>
      </c>
      <c r="AM17" s="1">
        <v>2</v>
      </c>
      <c r="AN17" s="3">
        <v>7.5780177000000004E-2</v>
      </c>
      <c r="AO17" s="3">
        <v>-0.16857382100000001</v>
      </c>
      <c r="AP17" s="3">
        <v>0.83152748499999996</v>
      </c>
      <c r="AQ17" s="3">
        <v>5.0217537999999999E-2</v>
      </c>
    </row>
    <row r="18" spans="1:43" x14ac:dyDescent="0.3">
      <c r="A18" s="1">
        <v>13033</v>
      </c>
      <c r="B18" s="3">
        <v>9.6</v>
      </c>
      <c r="C18" s="3">
        <v>72.299999999999898</v>
      </c>
      <c r="D18" s="3">
        <v>0.43</v>
      </c>
      <c r="E18" s="3">
        <v>52.189999999999898</v>
      </c>
      <c r="F18" s="3">
        <f>(B18-B$161)/B$162</f>
        <v>-0.23721583057886697</v>
      </c>
      <c r="G18" s="3">
        <f>(C18-C$161)/C$162</f>
        <v>7.8482421622962165E-2</v>
      </c>
      <c r="H18" s="3">
        <f>(D18-D$161)/D$162</f>
        <v>-0.56891570975524797</v>
      </c>
      <c r="I18" s="3">
        <f>(E18-E$161)/E$162</f>
        <v>1.4310695849262944</v>
      </c>
      <c r="J18" s="2">
        <v>971593.8</v>
      </c>
      <c r="K18" s="1">
        <v>3671394</v>
      </c>
      <c r="L18" s="3">
        <f>O18+P18*$G18+Q18*$H18+R18*$I18</f>
        <v>-0.24528146828384925</v>
      </c>
      <c r="M18" s="3">
        <f>L18*$B$162+$B$161</f>
        <v>9.5541945257250021</v>
      </c>
      <c r="N18" s="1">
        <v>1</v>
      </c>
      <c r="O18" s="3">
        <v>0.152735132</v>
      </c>
      <c r="P18" s="3">
        <v>-0.40878743200000001</v>
      </c>
      <c r="Q18" s="3">
        <v>0.37351620499999999</v>
      </c>
      <c r="R18" s="3">
        <v>-0.107216824</v>
      </c>
      <c r="S18" s="3">
        <f>V18+W18*$G18+X18*$H18+Y18*$I18</f>
        <v>-8.5288217000354771E-2</v>
      </c>
      <c r="T18" s="3">
        <f>S18*$B$162+$B$161</f>
        <v>10.462810437311546</v>
      </c>
      <c r="U18" s="1">
        <v>2</v>
      </c>
      <c r="V18" s="3">
        <v>-0.13655372900000001</v>
      </c>
      <c r="W18" s="3">
        <v>-0.53975352499999996</v>
      </c>
      <c r="X18" s="3">
        <v>6.0196410000000001E-3</v>
      </c>
      <c r="Y18" s="3">
        <v>6.7817348E-2</v>
      </c>
      <c r="Z18" s="3">
        <f>AC18+AD18*$G18+AE18*$H18+AF18*$I18</f>
        <v>-0.33907041128904314</v>
      </c>
      <c r="AA18" s="3">
        <f>Z18*$B$162+$B$161</f>
        <v>9.0215587722681061</v>
      </c>
      <c r="AB18" s="1">
        <v>0</v>
      </c>
      <c r="AC18" s="3">
        <v>0.54283203499999999</v>
      </c>
      <c r="AD18" s="3">
        <v>-0.49819849599999999</v>
      </c>
      <c r="AE18" s="3">
        <v>0.48327922000000001</v>
      </c>
      <c r="AF18" s="3">
        <v>-0.39680633799999998</v>
      </c>
      <c r="AG18" s="3">
        <v>7.9744528999999995E-2</v>
      </c>
      <c r="AH18" s="3">
        <v>-0.30787984699999998</v>
      </c>
      <c r="AI18" s="3">
        <v>0.59116073099999999</v>
      </c>
      <c r="AJ18" s="3">
        <v>-0.14484444399999999</v>
      </c>
      <c r="AK18" s="3">
        <f>AN18+AO18*$G18+AP18*$H18+AQ18*$I18</f>
        <v>-0.33865416274240656</v>
      </c>
      <c r="AL18" s="3">
        <f>AK18*$B$162+$B$161</f>
        <v>9.0239226848057577</v>
      </c>
      <c r="AM18" s="1">
        <v>2</v>
      </c>
      <c r="AN18" s="3">
        <v>7.5780177000000004E-2</v>
      </c>
      <c r="AO18" s="3">
        <v>-0.16857382100000001</v>
      </c>
      <c r="AP18" s="3">
        <v>0.83152748499999996</v>
      </c>
      <c r="AQ18" s="3">
        <v>5.0217537999999999E-2</v>
      </c>
    </row>
    <row r="19" spans="1:43" x14ac:dyDescent="0.3">
      <c r="A19" s="1">
        <v>13035</v>
      </c>
      <c r="B19" s="3">
        <v>7.2</v>
      </c>
      <c r="C19" s="3">
        <v>73.400000000000006</v>
      </c>
      <c r="D19" s="3">
        <v>0.72</v>
      </c>
      <c r="E19" s="3">
        <v>35.479999999999897</v>
      </c>
      <c r="F19" s="3">
        <f>(B19-B$161)/B$162</f>
        <v>-0.65981882287063576</v>
      </c>
      <c r="G19" s="3">
        <f>(C19-C$161)/C$162</f>
        <v>0.11920201682277755</v>
      </c>
      <c r="H19" s="3">
        <f>(D19-D$161)/D$162</f>
        <v>-0.33360261882580328</v>
      </c>
      <c r="I19" s="3">
        <f>(E19-E$161)/E$162</f>
        <v>0.46670891181190444</v>
      </c>
      <c r="J19" s="2">
        <v>782448.19999999902</v>
      </c>
      <c r="K19" s="1">
        <v>3684504</v>
      </c>
      <c r="L19" s="3">
        <f>O19+P19*$G19+Q19*$H19+R19*$I19</f>
        <v>-0.36616156948497602</v>
      </c>
      <c r="M19" s="3">
        <f>L19*$B$162+$B$161</f>
        <v>8.8677056740738802</v>
      </c>
      <c r="N19" s="1">
        <v>0</v>
      </c>
      <c r="O19" s="3">
        <v>-0.29754170299999999</v>
      </c>
      <c r="P19" s="3">
        <v>-0.36655891800000001</v>
      </c>
      <c r="Q19" s="3">
        <v>0.15384221300000001</v>
      </c>
      <c r="R19" s="3">
        <v>5.6559581999999997E-2</v>
      </c>
      <c r="S19" s="3">
        <f>V19+W19*$G19+X19*$H19+Y19*$I19</f>
        <v>-0.45743388225810988</v>
      </c>
      <c r="T19" s="3">
        <f>S19*$B$162+$B$161</f>
        <v>8.3493620876558161</v>
      </c>
      <c r="U19" s="1">
        <v>1</v>
      </c>
      <c r="V19" s="3">
        <v>-0.18342203200000001</v>
      </c>
      <c r="W19" s="3">
        <v>-0.17380490200000001</v>
      </c>
      <c r="X19" s="3">
        <v>0.64175570999999998</v>
      </c>
      <c r="Y19" s="3">
        <v>-8.3997902999999999E-2</v>
      </c>
      <c r="Z19" s="3">
        <f>AC19+AD19*$G19+AE19*$H19+AF19*$I19</f>
        <v>-0.3883990666609537</v>
      </c>
      <c r="AA19" s="3">
        <f>Z19*$B$162+$B$161</f>
        <v>8.7414169487316347</v>
      </c>
      <c r="AB19" s="1">
        <v>1</v>
      </c>
      <c r="AC19" s="3">
        <v>-0.27574183299999999</v>
      </c>
      <c r="AD19" s="3">
        <v>-0.23985341199999999</v>
      </c>
      <c r="AE19" s="3">
        <v>0.21363271</v>
      </c>
      <c r="AF19" s="3">
        <v>-2.7421357E-2</v>
      </c>
      <c r="AG19" s="3">
        <v>0.19223428100000001</v>
      </c>
      <c r="AH19" s="3">
        <v>-0.26847420999999999</v>
      </c>
      <c r="AI19" s="3">
        <v>0.67967720099999995</v>
      </c>
      <c r="AJ19" s="3">
        <v>-0.14863280000000001</v>
      </c>
      <c r="AK19" s="3">
        <f>AN19+AO19*$G19+AP19*$H19+AQ19*$I19</f>
        <v>-0.31472236995434832</v>
      </c>
      <c r="AL19" s="3">
        <f>AK19*$B$162+$B$161</f>
        <v>9.1598334657017091</v>
      </c>
      <c r="AM19" s="1">
        <v>0</v>
      </c>
      <c r="AN19" s="3">
        <v>-0.25974846699999998</v>
      </c>
      <c r="AO19" s="3">
        <v>-0.46703683299999998</v>
      </c>
      <c r="AP19" s="3">
        <v>9.7003433E-2</v>
      </c>
      <c r="AQ19" s="3">
        <v>7.0833077999999994E-2</v>
      </c>
    </row>
    <row r="20" spans="1:43" x14ac:dyDescent="0.3">
      <c r="A20" s="1">
        <v>13037</v>
      </c>
      <c r="B20" s="3">
        <v>10.1</v>
      </c>
      <c r="C20" s="3">
        <v>100</v>
      </c>
      <c r="D20" s="3">
        <v>0.1</v>
      </c>
      <c r="E20" s="3">
        <v>58.89</v>
      </c>
      <c r="F20" s="3">
        <f>(B20-B$161)/B$162</f>
        <v>-0.14917354051808179</v>
      </c>
      <c r="G20" s="3">
        <f>(C20-C$161)/C$162</f>
        <v>1.1038758643818527</v>
      </c>
      <c r="H20" s="3">
        <f>(D20-D$161)/D$162</f>
        <v>-0.83668577874392625</v>
      </c>
      <c r="I20" s="3">
        <f>(E20-E$161)/E$162</f>
        <v>1.8177372396160916</v>
      </c>
      <c r="J20" s="2">
        <v>724741.19999999902</v>
      </c>
      <c r="K20" s="1">
        <v>3492653</v>
      </c>
      <c r="L20" s="3">
        <f>O20+P20*$G20+Q20*$H20+R20*$I20</f>
        <v>-0.72808437878320065</v>
      </c>
      <c r="M20" s="3">
        <f>L20*$B$162+$B$161</f>
        <v>6.8123138331281838</v>
      </c>
      <c r="N20" s="1">
        <v>0</v>
      </c>
      <c r="O20" s="3">
        <v>-0.29754170299999999</v>
      </c>
      <c r="P20" s="3">
        <v>-0.36655891800000001</v>
      </c>
      <c r="Q20" s="3">
        <v>0.15384221300000001</v>
      </c>
      <c r="R20" s="3">
        <v>5.6559581999999997E-2</v>
      </c>
      <c r="S20" s="3">
        <f>V20+W20*$G20+X20*$H20+Y20*$I20</f>
        <v>-0.61413704702876692</v>
      </c>
      <c r="T20" s="3">
        <f>S20*$B$162+$B$161</f>
        <v>7.4594308701552956</v>
      </c>
      <c r="U20" s="1">
        <v>2</v>
      </c>
      <c r="V20" s="3">
        <v>-0.13655372900000001</v>
      </c>
      <c r="W20" s="3">
        <v>-0.53975352499999996</v>
      </c>
      <c r="X20" s="3">
        <v>6.0196410000000001E-3</v>
      </c>
      <c r="Y20" s="3">
        <v>6.7817348E-2</v>
      </c>
      <c r="Z20" s="3">
        <f>AC20+AD20*$G20+AE20*$H20+AF20*$I20</f>
        <v>-0.76909849760766946</v>
      </c>
      <c r="AA20" s="3">
        <f>Z20*$B$162+$B$161</f>
        <v>6.5793910025421534</v>
      </c>
      <c r="AB20" s="1">
        <v>1</v>
      </c>
      <c r="AC20" s="3">
        <v>-0.27574183299999999</v>
      </c>
      <c r="AD20" s="3">
        <v>-0.23985341199999999</v>
      </c>
      <c r="AE20" s="3">
        <v>0.21363271</v>
      </c>
      <c r="AF20" s="3">
        <v>-2.7421357E-2</v>
      </c>
      <c r="AG20" s="3">
        <v>-0.17523465399999999</v>
      </c>
      <c r="AH20" s="3">
        <v>-0.36330729299999998</v>
      </c>
      <c r="AI20" s="3">
        <v>0.17925334800000001</v>
      </c>
      <c r="AJ20" s="3">
        <v>1.5100423999999999E-2</v>
      </c>
      <c r="AK20" s="3">
        <f>AN20+AO20*$G20+AP20*$H20+AQ20*$I20</f>
        <v>-0.72770462392924595</v>
      </c>
      <c r="AL20" s="3">
        <f>AK20*$B$162+$B$161</f>
        <v>6.8144704947375789</v>
      </c>
      <c r="AM20" s="1">
        <v>0</v>
      </c>
      <c r="AN20" s="3">
        <v>-0.25974846699999998</v>
      </c>
      <c r="AO20" s="3">
        <v>-0.46703683299999998</v>
      </c>
      <c r="AP20" s="3">
        <v>9.7003433E-2</v>
      </c>
      <c r="AQ20" s="3">
        <v>7.0833077999999994E-2</v>
      </c>
    </row>
    <row r="21" spans="1:43" x14ac:dyDescent="0.3">
      <c r="A21" s="1">
        <v>13039</v>
      </c>
      <c r="B21" s="3">
        <v>13.5</v>
      </c>
      <c r="C21" s="3">
        <v>47.1</v>
      </c>
      <c r="D21" s="3">
        <v>2.14</v>
      </c>
      <c r="E21" s="3">
        <v>20.190000000000001</v>
      </c>
      <c r="F21" s="3">
        <f>(B21-B$161)/B$162</f>
        <v>0.44951403189525752</v>
      </c>
      <c r="G21" s="3">
        <f>(C21-C$161)/C$162</f>
        <v>-0.85436648659089476</v>
      </c>
      <c r="H21" s="3">
        <f>(D21-D$161)/D$162</f>
        <v>0.818620102276995</v>
      </c>
      <c r="I21" s="3">
        <f>(E21-E$161)/E$162</f>
        <v>-0.41570130314434467</v>
      </c>
      <c r="J21" s="2">
        <v>1008480</v>
      </c>
      <c r="K21" s="1">
        <v>3437933</v>
      </c>
      <c r="L21" s="3">
        <f>O21+P21*$G21+Q21*$H21+R21*$I21</f>
        <v>0.11806038809809977</v>
      </c>
      <c r="M21" s="3">
        <f>L21*$B$162+$B$161</f>
        <v>11.617645261337938</v>
      </c>
      <c r="N21" s="1">
        <v>0</v>
      </c>
      <c r="O21" s="3">
        <v>-0.29754170299999999</v>
      </c>
      <c r="P21" s="3">
        <v>-0.36655891800000001</v>
      </c>
      <c r="Q21" s="3">
        <v>0.15384221300000001</v>
      </c>
      <c r="R21" s="3">
        <v>5.6559581999999997E-2</v>
      </c>
      <c r="S21" s="3">
        <f>V21+W21*$G21+X21*$H21+Y21*$I21</f>
        <v>0.30132963297099791</v>
      </c>
      <c r="T21" s="3">
        <f>S21*$B$162+$B$161</f>
        <v>12.658447611812733</v>
      </c>
      <c r="U21" s="1">
        <v>2</v>
      </c>
      <c r="V21" s="3">
        <v>-0.13655372900000001</v>
      </c>
      <c r="W21" s="3">
        <v>-0.53975352499999996</v>
      </c>
      <c r="X21" s="3">
        <v>6.0196410000000001E-3</v>
      </c>
      <c r="Y21" s="3">
        <v>6.7817348E-2</v>
      </c>
      <c r="Z21" s="3">
        <f>AC21+AD21*$G21+AE21*$H21+AF21*$I21</f>
        <v>0.11546400865607626</v>
      </c>
      <c r="AA21" s="3">
        <f>Z21*$B$162+$B$161</f>
        <v>11.602900191438966</v>
      </c>
      <c r="AB21" s="1">
        <v>1</v>
      </c>
      <c r="AC21" s="3">
        <v>-0.27574183299999999</v>
      </c>
      <c r="AD21" s="3">
        <v>-0.23985341199999999</v>
      </c>
      <c r="AE21" s="3">
        <v>0.21363271</v>
      </c>
      <c r="AF21" s="3">
        <v>-2.7421357E-2</v>
      </c>
      <c r="AG21" s="3">
        <v>-0.243340377</v>
      </c>
      <c r="AH21" s="3">
        <v>-0.46097151800000002</v>
      </c>
      <c r="AI21" s="3">
        <v>0.17283797200000001</v>
      </c>
      <c r="AJ21" s="3">
        <v>6.1242959E-2</v>
      </c>
      <c r="AK21" s="3">
        <f>AN21+AO21*$G21+AP21*$H21+AQ21*$I21</f>
        <v>0.18923570853210309</v>
      </c>
      <c r="AL21" s="3">
        <f>AK21*$B$162+$B$161</f>
        <v>12.021856239862366</v>
      </c>
      <c r="AM21" s="1">
        <v>0</v>
      </c>
      <c r="AN21" s="3">
        <v>-0.25974846699999998</v>
      </c>
      <c r="AO21" s="3">
        <v>-0.46703683299999998</v>
      </c>
      <c r="AP21" s="3">
        <v>9.7003433E-2</v>
      </c>
      <c r="AQ21" s="3">
        <v>7.0833077999999994E-2</v>
      </c>
    </row>
    <row r="22" spans="1:43" x14ac:dyDescent="0.3">
      <c r="A22" s="1">
        <v>13043</v>
      </c>
      <c r="B22" s="3">
        <v>9.9</v>
      </c>
      <c r="C22" s="3">
        <v>52.1</v>
      </c>
      <c r="D22" s="3">
        <v>0.96</v>
      </c>
      <c r="E22" s="3">
        <v>30.94</v>
      </c>
      <c r="F22" s="3">
        <f>(B22-B$161)/B$162</f>
        <v>-0.18439045654239572</v>
      </c>
      <c r="G22" s="3">
        <f>(C22-C$161)/C$162</f>
        <v>-0.66927741750084302</v>
      </c>
      <c r="H22" s="3">
        <f>(D22-D$161)/D$162</f>
        <v>-0.13886075047040078</v>
      </c>
      <c r="I22" s="3">
        <f>(E22-E$161)/E$162</f>
        <v>0.20469829206688767</v>
      </c>
      <c r="J22" s="2">
        <v>964264.9</v>
      </c>
      <c r="K22" s="1">
        <v>3598842</v>
      </c>
      <c r="L22" s="3">
        <f>O22+P22*$G22+Q22*$H22+R22*$I22</f>
        <v>-6.1997092314846888E-2</v>
      </c>
      <c r="M22" s="3">
        <f>L22*$B$162+$B$161</f>
        <v>10.595082807041068</v>
      </c>
      <c r="N22" s="1">
        <v>0</v>
      </c>
      <c r="O22" s="3">
        <v>-0.29754170299999999</v>
      </c>
      <c r="P22" s="3">
        <v>-0.36655891800000001</v>
      </c>
      <c r="Q22" s="3">
        <v>0.15384221300000001</v>
      </c>
      <c r="R22" s="3">
        <v>5.6559581999999997E-2</v>
      </c>
      <c r="S22" s="3">
        <f>V22+W22*$G22+X22*$H22+Y22*$I22</f>
        <v>0.23773731974026002</v>
      </c>
      <c r="T22" s="3">
        <f>S22*$B$162+$B$161</f>
        <v>12.297301205995522</v>
      </c>
      <c r="U22" s="1">
        <v>2</v>
      </c>
      <c r="V22" s="3">
        <v>-0.13655372900000001</v>
      </c>
      <c r="W22" s="3">
        <v>-0.53975352499999996</v>
      </c>
      <c r="X22" s="3">
        <v>6.0196410000000001E-3</v>
      </c>
      <c r="Y22" s="3">
        <v>6.7817348E-2</v>
      </c>
      <c r="Z22" s="3">
        <f>AC22+AD22*$G22+AE22*$H22+AF22*$I22</f>
        <v>-0.15049166421755616</v>
      </c>
      <c r="AA22" s="3">
        <f>Z22*$B$162+$B$161</f>
        <v>10.092514258212931</v>
      </c>
      <c r="AB22" s="1">
        <v>1</v>
      </c>
      <c r="AC22" s="3">
        <v>-0.27574183299999999</v>
      </c>
      <c r="AD22" s="3">
        <v>-0.23985341199999999</v>
      </c>
      <c r="AE22" s="3">
        <v>0.21363271</v>
      </c>
      <c r="AF22" s="3">
        <v>-2.7421357E-2</v>
      </c>
      <c r="AG22" s="3">
        <v>-0.100367181</v>
      </c>
      <c r="AH22" s="3">
        <v>-0.38893945499999999</v>
      </c>
      <c r="AI22" s="3">
        <v>0.37837811500000001</v>
      </c>
      <c r="AJ22" s="3">
        <v>-4.3268863999999997E-2</v>
      </c>
      <c r="AK22" s="3">
        <f>AN22+AO22*$G22+AP22*$H22+AQ22*$I22</f>
        <v>8.3415742233668516E-2</v>
      </c>
      <c r="AL22" s="3">
        <f>AK22*$B$162+$B$161</f>
        <v>11.420895234501332</v>
      </c>
      <c r="AM22" s="1">
        <v>2</v>
      </c>
      <c r="AN22" s="3">
        <v>7.5780177000000004E-2</v>
      </c>
      <c r="AO22" s="3">
        <v>-0.16857382100000001</v>
      </c>
      <c r="AP22" s="3">
        <v>0.83152748499999996</v>
      </c>
      <c r="AQ22" s="3">
        <v>5.0217537999999999E-2</v>
      </c>
    </row>
    <row r="23" spans="1:43" x14ac:dyDescent="0.3">
      <c r="A23" s="1">
        <v>13045</v>
      </c>
      <c r="B23" s="3">
        <v>12</v>
      </c>
      <c r="C23" s="3">
        <v>68.5</v>
      </c>
      <c r="D23" s="3">
        <v>0.85</v>
      </c>
      <c r="E23" s="3">
        <v>15.46</v>
      </c>
      <c r="F23" s="3">
        <f>(B23-B$161)/B$162</f>
        <v>0.18538716171290198</v>
      </c>
      <c r="G23" s="3">
        <f>(C23-C$161)/C$162</f>
        <v>-6.2185270885473383E-2</v>
      </c>
      <c r="H23" s="3">
        <f>(D23-D$161)/D$162</f>
        <v>-0.22811744013329358</v>
      </c>
      <c r="I23" s="3">
        <f>(E23-E$161)/E$162</f>
        <v>-0.68867712503728684</v>
      </c>
      <c r="J23" s="2">
        <v>678778.59999999905</v>
      </c>
      <c r="K23" s="1">
        <v>3713250</v>
      </c>
      <c r="L23" s="3">
        <f>O23+P23*$G23+Q23*$H23+R23*$I23</f>
        <v>-0.34879251952775553</v>
      </c>
      <c r="M23" s="3">
        <f>L23*$B$162+$B$161</f>
        <v>8.966346054425351</v>
      </c>
      <c r="N23" s="1">
        <v>0</v>
      </c>
      <c r="O23" s="3">
        <v>-0.29754170299999999</v>
      </c>
      <c r="P23" s="3">
        <v>-0.36655891800000001</v>
      </c>
      <c r="Q23" s="3">
        <v>0.15384221300000001</v>
      </c>
      <c r="R23" s="3">
        <v>5.6559581999999997E-2</v>
      </c>
      <c r="S23" s="3">
        <f>V23+W23*$G23+X23*$H23+Y23*$I23</f>
        <v>-0.26116216249683027</v>
      </c>
      <c r="T23" s="3">
        <f>S23*$B$162+$B$161</f>
        <v>9.4640066500915037</v>
      </c>
      <c r="U23" s="1">
        <v>1</v>
      </c>
      <c r="V23" s="3">
        <v>-0.18342203200000001</v>
      </c>
      <c r="W23" s="3">
        <v>-0.17380490200000001</v>
      </c>
      <c r="X23" s="3">
        <v>0.64175570999999998</v>
      </c>
      <c r="Y23" s="3">
        <v>-8.3997902999999999E-2</v>
      </c>
      <c r="Z23" s="3">
        <f>AC23+AD23*$G23+AE23*$H23+AF23*$I23</f>
        <v>-0.29067536923253212</v>
      </c>
      <c r="AA23" s="3">
        <f>Z23*$B$162+$B$161</f>
        <v>9.296398522705644</v>
      </c>
      <c r="AB23" s="1">
        <v>1</v>
      </c>
      <c r="AC23" s="3">
        <v>-0.27574183299999999</v>
      </c>
      <c r="AD23" s="3">
        <v>-0.23985341199999999</v>
      </c>
      <c r="AE23" s="3">
        <v>0.21363271</v>
      </c>
      <c r="AF23" s="3">
        <v>-2.7421357E-2</v>
      </c>
      <c r="AG23" s="3">
        <v>0.11409443399999999</v>
      </c>
      <c r="AH23" s="3">
        <v>-0.26023854499999999</v>
      </c>
      <c r="AI23" s="3">
        <v>0.67543617499999997</v>
      </c>
      <c r="AJ23" s="3">
        <v>-5.9532186000000001E-2</v>
      </c>
      <c r="AK23" s="3">
        <f>AN23+AO23*$G23+AP23*$H23+AQ23*$I23</f>
        <v>-0.13800660525188208</v>
      </c>
      <c r="AL23" s="3">
        <f>AK23*$B$162+$B$161</f>
        <v>10.163418019104739</v>
      </c>
      <c r="AM23" s="1">
        <v>2</v>
      </c>
      <c r="AN23" s="3">
        <v>7.5780177000000004E-2</v>
      </c>
      <c r="AO23" s="3">
        <v>-0.16857382100000001</v>
      </c>
      <c r="AP23" s="3">
        <v>0.83152748499999996</v>
      </c>
      <c r="AQ23" s="3">
        <v>5.0217537999999999E-2</v>
      </c>
    </row>
    <row r="24" spans="1:43" x14ac:dyDescent="0.3">
      <c r="A24" s="1">
        <v>13047</v>
      </c>
      <c r="B24" s="3">
        <v>8.1</v>
      </c>
      <c r="C24" s="3">
        <v>43.6</v>
      </c>
      <c r="D24" s="3">
        <v>0.39</v>
      </c>
      <c r="E24" s="3">
        <v>0.91</v>
      </c>
      <c r="F24" s="3">
        <f>(B24-B$161)/B$162</f>
        <v>-0.50134270076122256</v>
      </c>
      <c r="G24" s="3">
        <f>(C24-C$161)/C$162</f>
        <v>-0.98392883495393102</v>
      </c>
      <c r="H24" s="3">
        <f>(D24-D$161)/D$162</f>
        <v>-0.60137268781448161</v>
      </c>
      <c r="I24" s="3">
        <f>(E24-E$161)/E$162</f>
        <v>-1.5283807632069084</v>
      </c>
      <c r="J24" s="2">
        <v>670055.9</v>
      </c>
      <c r="K24" s="1">
        <v>3862318</v>
      </c>
      <c r="L24" s="3">
        <f>O24+P24*$G24+Q24*$H24+R24*$I24</f>
        <v>-0.11583489610524815</v>
      </c>
      <c r="M24" s="3">
        <f>L24*$B$162+$B$161</f>
        <v>10.289333128373968</v>
      </c>
      <c r="N24" s="1">
        <v>0</v>
      </c>
      <c r="O24" s="3">
        <v>-0.29754170299999999</v>
      </c>
      <c r="P24" s="3">
        <v>-0.36655891800000001</v>
      </c>
      <c r="Q24" s="3">
        <v>0.15384221300000001</v>
      </c>
      <c r="R24" s="3">
        <v>5.6559581999999997E-2</v>
      </c>
      <c r="S24" s="3">
        <f>V24+W24*$G24+X24*$H24+Y24*$I24</f>
        <v>-0.26996395441392895</v>
      </c>
      <c r="T24" s="3">
        <f>S24*$B$162+$B$161</f>
        <v>9.4140204905366929</v>
      </c>
      <c r="U24" s="1">
        <v>1</v>
      </c>
      <c r="V24" s="3">
        <v>-0.18342203200000001</v>
      </c>
      <c r="W24" s="3">
        <v>-0.17380490200000001</v>
      </c>
      <c r="X24" s="3">
        <v>0.64175570999999998</v>
      </c>
      <c r="Y24" s="3">
        <v>-8.3997902999999999E-2</v>
      </c>
      <c r="Z24" s="3">
        <f>AC24+AD24*$G24+AE24*$H24+AF24*$I24</f>
        <v>-0.12630574724907739</v>
      </c>
      <c r="AA24" s="3">
        <f>Z24*$B$162+$B$161</f>
        <v>10.229868232943602</v>
      </c>
      <c r="AB24" s="1">
        <v>1</v>
      </c>
      <c r="AC24" s="3">
        <v>-0.27574183299999999</v>
      </c>
      <c r="AD24" s="3">
        <v>-0.23985341199999999</v>
      </c>
      <c r="AE24" s="3">
        <v>0.21363271</v>
      </c>
      <c r="AF24" s="3">
        <v>-2.7421357E-2</v>
      </c>
      <c r="AG24" s="3">
        <v>0.118806651</v>
      </c>
      <c r="AH24" s="3">
        <v>-0.264458955</v>
      </c>
      <c r="AI24" s="3">
        <v>0.723628614</v>
      </c>
      <c r="AJ24" s="3">
        <v>-3.7748184999999997E-2</v>
      </c>
      <c r="AK24" s="3">
        <f>AN24+AO24*$G24+AP24*$H24+AQ24*$I24</f>
        <v>-0.33516461740061537</v>
      </c>
      <c r="AL24" s="3">
        <f>AK24*$B$162+$B$161</f>
        <v>9.043740123330938</v>
      </c>
      <c r="AM24" s="1">
        <v>2</v>
      </c>
      <c r="AN24" s="3">
        <v>7.5780177000000004E-2</v>
      </c>
      <c r="AO24" s="3">
        <v>-0.16857382100000001</v>
      </c>
      <c r="AP24" s="3">
        <v>0.83152748499999996</v>
      </c>
      <c r="AQ24" s="3">
        <v>5.0217537999999999E-2</v>
      </c>
    </row>
    <row r="25" spans="1:43" x14ac:dyDescent="0.3">
      <c r="A25" s="1">
        <v>13049</v>
      </c>
      <c r="B25" s="3">
        <v>6.4</v>
      </c>
      <c r="C25" s="3">
        <v>100</v>
      </c>
      <c r="D25" s="3">
        <v>0.42</v>
      </c>
      <c r="E25" s="3">
        <v>27.05</v>
      </c>
      <c r="F25" s="3">
        <f>(B25-B$161)/B$162</f>
        <v>-0.80068648696789202</v>
      </c>
      <c r="G25" s="3">
        <f>(C25-C$161)/C$162</f>
        <v>1.1038758643818527</v>
      </c>
      <c r="H25" s="3">
        <f>(D25-D$161)/D$162</f>
        <v>-0.57702995427005643</v>
      </c>
      <c r="I25" s="3">
        <f>(E25-E$161)/E$162</f>
        <v>-1.9799794014200161E-2</v>
      </c>
      <c r="J25" s="2">
        <v>962612.3</v>
      </c>
      <c r="K25" s="1">
        <v>3432769</v>
      </c>
      <c r="L25" s="3">
        <f>O25+P25*$G25+Q25*$H25+R25*$I25</f>
        <v>-0.79206867865945019</v>
      </c>
      <c r="M25" s="3">
        <f>L25*$B$162+$B$161</f>
        <v>6.4489413002688369</v>
      </c>
      <c r="N25" s="1">
        <v>0</v>
      </c>
      <c r="O25" s="3">
        <v>-0.29754170299999999</v>
      </c>
      <c r="P25" s="3">
        <v>-0.36655891800000001</v>
      </c>
      <c r="Q25" s="3">
        <v>0.15384221300000001</v>
      </c>
      <c r="R25" s="3">
        <v>5.6559581999999997E-2</v>
      </c>
      <c r="S25" s="3">
        <f>V25+W25*$G25+X25*$H25+Y25*$I25</f>
        <v>-0.73719090065446846</v>
      </c>
      <c r="T25" s="3">
        <f>S25*$B$162+$B$161</f>
        <v>6.7605970850462072</v>
      </c>
      <c r="U25" s="1">
        <v>2</v>
      </c>
      <c r="V25" s="3">
        <v>-0.13655372900000001</v>
      </c>
      <c r="W25" s="3">
        <v>-0.53975352499999996</v>
      </c>
      <c r="X25" s="3">
        <v>6.0196410000000001E-3</v>
      </c>
      <c r="Y25" s="3">
        <v>6.7817348E-2</v>
      </c>
      <c r="Z25" s="3">
        <f>AC25+AD25*$G25+AE25*$H25+AF25*$I25</f>
        <v>-0.6632397611581351</v>
      </c>
      <c r="AA25" s="3">
        <f>Z25*$B$162+$B$161</f>
        <v>7.1805721870413777</v>
      </c>
      <c r="AB25" s="1">
        <v>1</v>
      </c>
      <c r="AC25" s="3">
        <v>-0.27574183299999999</v>
      </c>
      <c r="AD25" s="3">
        <v>-0.23985341199999999</v>
      </c>
      <c r="AE25" s="3">
        <v>0.21363271</v>
      </c>
      <c r="AF25" s="3">
        <v>-2.7421357E-2</v>
      </c>
      <c r="AG25" s="3">
        <v>-0.26140438999999999</v>
      </c>
      <c r="AH25" s="3">
        <v>-0.44811630600000002</v>
      </c>
      <c r="AI25" s="3">
        <v>0.15812121700000001</v>
      </c>
      <c r="AJ25" s="3">
        <v>7.7148260999999996E-2</v>
      </c>
      <c r="AK25" s="3">
        <f>AN25+AO25*$G25+AP25*$H25+AQ25*$I25</f>
        <v>-0.83267552158785818</v>
      </c>
      <c r="AL25" s="3">
        <f>AK25*$B$162+$B$161</f>
        <v>6.2183314257393771</v>
      </c>
      <c r="AM25" s="1">
        <v>0</v>
      </c>
      <c r="AN25" s="3">
        <v>-0.25974846699999998</v>
      </c>
      <c r="AO25" s="3">
        <v>-0.46703683299999998</v>
      </c>
      <c r="AP25" s="3">
        <v>9.7003433E-2</v>
      </c>
      <c r="AQ25" s="3">
        <v>7.0833077999999994E-2</v>
      </c>
    </row>
    <row r="26" spans="1:43" x14ac:dyDescent="0.3">
      <c r="A26" s="1">
        <v>13051</v>
      </c>
      <c r="B26" s="3">
        <v>18.600000000000001</v>
      </c>
      <c r="C26" s="3">
        <v>5.0999999999999996</v>
      </c>
      <c r="D26" s="3">
        <v>2.0499999999999998</v>
      </c>
      <c r="E26" s="3">
        <v>38.020000000000003</v>
      </c>
      <c r="F26" s="3">
        <f>(B26-B$161)/B$162</f>
        <v>1.3475453905152666</v>
      </c>
      <c r="G26" s="3">
        <f>(C26-C$161)/C$162</f>
        <v>-2.4091146669473296</v>
      </c>
      <c r="H26" s="3">
        <f>(D26-D$161)/D$162</f>
        <v>0.7455919016437188</v>
      </c>
      <c r="I26" s="3">
        <f>(E26-E$161)/E$162</f>
        <v>0.61329635105251801</v>
      </c>
      <c r="J26" s="2">
        <v>1059706</v>
      </c>
      <c r="K26" s="1">
        <v>3556747</v>
      </c>
      <c r="L26" s="3">
        <f>O26+P26*$G26+Q26*$H26+R26*$I26</f>
        <v>1.3502859007449892</v>
      </c>
      <c r="M26" s="3">
        <f>L26*$B$162+$B$161</f>
        <v>18.615563601468288</v>
      </c>
      <c r="N26" s="1">
        <v>1</v>
      </c>
      <c r="O26" s="3">
        <v>0.152735132</v>
      </c>
      <c r="P26" s="3">
        <v>-0.40878743200000001</v>
      </c>
      <c r="Q26" s="3">
        <v>0.37351620499999999</v>
      </c>
      <c r="R26" s="3">
        <v>-0.107216824</v>
      </c>
      <c r="S26" s="3">
        <f>V26+W26*$G26+X26*$H26+Y26*$I26</f>
        <v>1.2098547322608832</v>
      </c>
      <c r="T26" s="3">
        <f>S26*$B$162+$B$161</f>
        <v>17.818042498898425</v>
      </c>
      <c r="U26" s="1">
        <v>2</v>
      </c>
      <c r="V26" s="3">
        <v>-0.13655372900000001</v>
      </c>
      <c r="W26" s="3">
        <v>-0.53975352499999996</v>
      </c>
      <c r="X26" s="3">
        <v>6.0196410000000001E-3</v>
      </c>
      <c r="Y26" s="3">
        <v>6.7817348E-2</v>
      </c>
      <c r="Z26" s="3">
        <f>AC26+AD26*$G26+AE26*$H26+AF26*$I26</f>
        <v>1.8600185322594813</v>
      </c>
      <c r="AA26" s="3">
        <f>Z26*$B$162+$B$161</f>
        <v>21.510380576143572</v>
      </c>
      <c r="AB26" s="1">
        <v>0</v>
      </c>
      <c r="AC26" s="3">
        <v>0.54283203499999999</v>
      </c>
      <c r="AD26" s="3">
        <v>-0.49819849599999999</v>
      </c>
      <c r="AE26" s="3">
        <v>0.48327922000000001</v>
      </c>
      <c r="AF26" s="3">
        <v>-0.39680633799999998</v>
      </c>
      <c r="AG26" s="3">
        <v>-0.152825761</v>
      </c>
      <c r="AH26" s="3">
        <v>-0.44973456899999997</v>
      </c>
      <c r="AI26" s="3">
        <v>0.27678627300000003</v>
      </c>
      <c r="AJ26" s="3">
        <v>-1.5451293E-2</v>
      </c>
      <c r="AK26" s="3">
        <f>AN26+AO26*$G26+AP26*$H26+AQ26*$I26</f>
        <v>0.98116345973258801</v>
      </c>
      <c r="AL26" s="3">
        <f>AK26*$B$162+$B$161</f>
        <v>16.519284411333889</v>
      </c>
      <c r="AM26" s="1">
        <v>0</v>
      </c>
      <c r="AN26" s="3">
        <v>-0.25974846699999998</v>
      </c>
      <c r="AO26" s="3">
        <v>-0.46703683299999998</v>
      </c>
      <c r="AP26" s="3">
        <v>9.7003433E-2</v>
      </c>
      <c r="AQ26" s="3">
        <v>7.0833077999999994E-2</v>
      </c>
    </row>
    <row r="27" spans="1:43" x14ac:dyDescent="0.3">
      <c r="A27" s="1">
        <v>13053</v>
      </c>
      <c r="B27" s="3">
        <v>20.1999999999999</v>
      </c>
      <c r="C27" s="3">
        <v>13.6999999999999</v>
      </c>
      <c r="D27" s="3">
        <v>6.74</v>
      </c>
      <c r="E27" s="3">
        <v>30.94</v>
      </c>
      <c r="F27" s="3">
        <f>(B27-B$161)/B$162</f>
        <v>1.6292807187097613</v>
      </c>
      <c r="G27" s="3">
        <f>(C27-C$161)/C$162</f>
        <v>-2.090761468112444</v>
      </c>
      <c r="H27" s="3">
        <f>(D27-D$161)/D$162</f>
        <v>4.5511725790888766</v>
      </c>
      <c r="I27" s="3">
        <f>(E27-E$161)/E$162</f>
        <v>0.20469829206688767</v>
      </c>
      <c r="J27" s="2">
        <v>704959.19999999902</v>
      </c>
      <c r="K27" s="1">
        <v>3577608</v>
      </c>
      <c r="L27" s="3">
        <f>O27+P27*$G27+Q27*$H27+R27*$I27</f>
        <v>1.1805856696947563</v>
      </c>
      <c r="M27" s="3">
        <f>L27*$B$162+$B$161</f>
        <v>17.651820887977586</v>
      </c>
      <c r="N27" s="1">
        <v>0</v>
      </c>
      <c r="O27" s="3">
        <v>-0.29754170299999999</v>
      </c>
      <c r="P27" s="3">
        <v>-0.36655891800000001</v>
      </c>
      <c r="Q27" s="3">
        <v>0.15384221300000001</v>
      </c>
      <c r="R27" s="3">
        <v>5.6559581999999997E-2</v>
      </c>
      <c r="S27" s="3">
        <f>V27+W27*$G27+X27*$H27+Y27*$I27</f>
        <v>1.0317162673784734</v>
      </c>
      <c r="T27" s="3">
        <f>S27*$B$162+$B$161</f>
        <v>16.806378304569648</v>
      </c>
      <c r="U27" s="1">
        <v>0</v>
      </c>
      <c r="V27" s="3">
        <v>-0.54906074100000002</v>
      </c>
      <c r="W27" s="3">
        <v>-0.34651111899999998</v>
      </c>
      <c r="X27" s="3">
        <v>0.18161730300000001</v>
      </c>
      <c r="Y27" s="3">
        <v>0.14525389</v>
      </c>
      <c r="Z27" s="3">
        <f>AC27+AD27*$G27+AE27*$H27+AF27*$I27</f>
        <v>1.1924006656092885</v>
      </c>
      <c r="AA27" s="3">
        <f>Z27*$B$162+$B$161</f>
        <v>17.718919301174104</v>
      </c>
      <c r="AB27" s="1">
        <v>1</v>
      </c>
      <c r="AC27" s="3">
        <v>-0.27574183299999999</v>
      </c>
      <c r="AD27" s="3">
        <v>-0.23985341199999999</v>
      </c>
      <c r="AE27" s="3">
        <v>0.21363271</v>
      </c>
      <c r="AF27" s="3">
        <v>-2.7421357E-2</v>
      </c>
      <c r="AG27" s="3">
        <v>3.0197752000000001E-2</v>
      </c>
      <c r="AH27" s="3">
        <v>-0.34304921799999999</v>
      </c>
      <c r="AI27" s="3">
        <v>0.33705285200000001</v>
      </c>
      <c r="AJ27" s="3">
        <v>-9.3057413000000005E-2</v>
      </c>
      <c r="AK27" s="3">
        <f>AN27+AO27*$G27+AP27*$H27+AQ27*$I27</f>
        <v>1.1726929220611919</v>
      </c>
      <c r="AL27" s="3">
        <f>AK27*$B$162+$B$161</f>
        <v>17.606997271803387</v>
      </c>
      <c r="AM27" s="1">
        <v>0</v>
      </c>
      <c r="AN27" s="3">
        <v>-0.25974846699999998</v>
      </c>
      <c r="AO27" s="3">
        <v>-0.46703683299999998</v>
      </c>
      <c r="AP27" s="3">
        <v>9.7003433E-2</v>
      </c>
      <c r="AQ27" s="3">
        <v>7.0833077999999994E-2</v>
      </c>
    </row>
    <row r="28" spans="1:43" x14ac:dyDescent="0.3">
      <c r="A28" s="1">
        <v>13055</v>
      </c>
      <c r="B28" s="3">
        <v>5.9</v>
      </c>
      <c r="C28" s="3">
        <v>77.400000000000006</v>
      </c>
      <c r="D28" s="3">
        <v>0.11</v>
      </c>
      <c r="E28" s="3">
        <v>8.6099999999999905</v>
      </c>
      <c r="F28" s="3">
        <f>(B28-B$161)/B$162</f>
        <v>-0.88872877702867714</v>
      </c>
      <c r="G28" s="3">
        <f>(C28-C$161)/C$162</f>
        <v>0.26727327209481894</v>
      </c>
      <c r="H28" s="3">
        <f>(D28-D$161)/D$162</f>
        <v>-0.82857153422911789</v>
      </c>
      <c r="I28" s="3">
        <f>(E28-E$161)/E$162</f>
        <v>-1.0840015182649099</v>
      </c>
      <c r="J28" s="2">
        <v>653026.59999999905</v>
      </c>
      <c r="K28" s="1">
        <v>3813760</v>
      </c>
      <c r="L28" s="3">
        <f>O28+P28*$G28+Q28*$H28+R28*$I28</f>
        <v>-0.5842930556444379</v>
      </c>
      <c r="M28" s="3">
        <f>L28*$B$162+$B$161</f>
        <v>7.6289175529967146</v>
      </c>
      <c r="N28" s="1">
        <v>0</v>
      </c>
      <c r="O28" s="3">
        <v>-0.29754170299999999</v>
      </c>
      <c r="P28" s="3">
        <v>-0.36655891800000001</v>
      </c>
      <c r="Q28" s="3">
        <v>0.15384221300000001</v>
      </c>
      <c r="R28" s="3">
        <v>5.6559581999999997E-2</v>
      </c>
      <c r="S28" s="3">
        <f>V28+W28*$G28+X28*$H28+Y28*$I28</f>
        <v>-0.67056209571558756</v>
      </c>
      <c r="T28" s="3">
        <f>S28*$B$162+$B$161</f>
        <v>7.1389879974865798</v>
      </c>
      <c r="U28" s="1">
        <v>1</v>
      </c>
      <c r="V28" s="3">
        <v>-0.18342203200000001</v>
      </c>
      <c r="W28" s="3">
        <v>-0.17380490200000001</v>
      </c>
      <c r="X28" s="3">
        <v>0.64175570999999998</v>
      </c>
      <c r="Y28" s="3">
        <v>-8.3997902999999999E-2</v>
      </c>
      <c r="Z28" s="3">
        <f>AC28+AD28*$G28+AE28*$H28+AF28*$I28</f>
        <v>-0.48713342891368683</v>
      </c>
      <c r="AA28" s="3">
        <f>Z28*$B$162+$B$161</f>
        <v>8.1806957192828893</v>
      </c>
      <c r="AB28" s="1">
        <v>1</v>
      </c>
      <c r="AC28" s="3">
        <v>-0.27574183299999999</v>
      </c>
      <c r="AD28" s="3">
        <v>-0.23985341199999999</v>
      </c>
      <c r="AE28" s="3">
        <v>0.21363271</v>
      </c>
      <c r="AF28" s="3">
        <v>-2.7421357E-2</v>
      </c>
      <c r="AG28" s="3">
        <v>0.11304399</v>
      </c>
      <c r="AH28" s="3">
        <v>-0.25982376899999998</v>
      </c>
      <c r="AI28" s="3">
        <v>0.71577000999999996</v>
      </c>
      <c r="AJ28" s="3">
        <v>-3.7333788999999999E-2</v>
      </c>
      <c r="AK28" s="3">
        <f>AN28+AO28*$G28+AP28*$H28+AQ28*$I28</f>
        <v>-0.71269099116385193</v>
      </c>
      <c r="AL28" s="3">
        <f>AK28*$B$162+$B$161</f>
        <v>6.8997342512517976</v>
      </c>
      <c r="AM28" s="1">
        <v>2</v>
      </c>
      <c r="AN28" s="3">
        <v>7.5780177000000004E-2</v>
      </c>
      <c r="AO28" s="3">
        <v>-0.16857382100000001</v>
      </c>
      <c r="AP28" s="3">
        <v>0.83152748499999996</v>
      </c>
      <c r="AQ28" s="3">
        <v>5.0217537999999999E-2</v>
      </c>
    </row>
    <row r="29" spans="1:43" x14ac:dyDescent="0.3">
      <c r="A29" s="1">
        <v>13057</v>
      </c>
      <c r="B29" s="3">
        <v>18.399999999999899</v>
      </c>
      <c r="C29" s="3">
        <v>57.799999999999898</v>
      </c>
      <c r="D29" s="3">
        <v>1.57</v>
      </c>
      <c r="E29" s="3">
        <v>1.77</v>
      </c>
      <c r="F29" s="3">
        <f>(B29-B$161)/B$162</f>
        <v>1.3123284744909345</v>
      </c>
      <c r="G29" s="3">
        <f>(C29-C$161)/C$162</f>
        <v>-0.45827587873818793</v>
      </c>
      <c r="H29" s="3">
        <f>(D29-D$161)/D$162</f>
        <v>0.35610816493291397</v>
      </c>
      <c r="I29" s="3">
        <f>(E29-E$161)/E$162</f>
        <v>-1.4787487955900098</v>
      </c>
      <c r="J29" s="2">
        <v>734240.9</v>
      </c>
      <c r="K29" s="1">
        <v>3794110</v>
      </c>
      <c r="L29" s="3">
        <f>O29+P29*$G29+Q29*$H29+R29*$I29</f>
        <v>1.6131480425569331</v>
      </c>
      <c r="M29" s="3">
        <f>L29*$B$162+$B$161</f>
        <v>20.108381096506534</v>
      </c>
      <c r="N29" s="1">
        <v>2</v>
      </c>
      <c r="O29" s="3">
        <v>0.94371922399999997</v>
      </c>
      <c r="P29" s="3">
        <v>-0.79405312100000003</v>
      </c>
      <c r="Q29" s="3">
        <v>0.26666736400000002</v>
      </c>
      <c r="R29" s="3">
        <v>-0.14239808800000001</v>
      </c>
      <c r="S29" s="3">
        <f>V29+W29*$G29+X29*$H29+Y29*$I29</f>
        <v>1.4786195257494494</v>
      </c>
      <c r="T29" s="3">
        <f>S29*$B$162+$B$161</f>
        <v>19.344381678075891</v>
      </c>
      <c r="U29" s="1">
        <v>3</v>
      </c>
      <c r="V29" s="3">
        <v>0.57876851500000004</v>
      </c>
      <c r="W29" s="3">
        <v>-0.118666143</v>
      </c>
      <c r="X29" s="3">
        <v>1.1943427209999999</v>
      </c>
      <c r="Y29" s="3">
        <v>-0.28412803199999997</v>
      </c>
      <c r="Z29" s="3">
        <f>AC29+AD29*$G29+AE29*$H29+AF29*$I29</f>
        <v>1.5300209591248359</v>
      </c>
      <c r="AA29" s="3">
        <f>Z29*$B$162+$B$161</f>
        <v>19.636294992347352</v>
      </c>
      <c r="AB29" s="1">
        <v>0</v>
      </c>
      <c r="AC29" s="3">
        <v>0.54283203499999999</v>
      </c>
      <c r="AD29" s="3">
        <v>-0.49819849599999999</v>
      </c>
      <c r="AE29" s="3">
        <v>0.48327922000000001</v>
      </c>
      <c r="AF29" s="3">
        <v>-0.39680633799999998</v>
      </c>
      <c r="AG29" s="3">
        <v>0.135444753</v>
      </c>
      <c r="AH29" s="3">
        <v>-0.27501344799999999</v>
      </c>
      <c r="AI29" s="3">
        <v>0.72160746899999995</v>
      </c>
      <c r="AJ29" s="3">
        <v>-5.6585002000000002E-2</v>
      </c>
      <c r="AK29" s="3">
        <f>AN29+AO29*$G29+AP29*$H29+AQ29*$I29</f>
        <v>1.4168008823293505</v>
      </c>
      <c r="AL29" s="3">
        <f>AK29*$B$162+$B$161</f>
        <v>18.993308100949385</v>
      </c>
      <c r="AM29" s="1">
        <v>4</v>
      </c>
      <c r="AN29" s="3">
        <v>0.61558443699999998</v>
      </c>
      <c r="AO29" s="3">
        <v>-0.957700683</v>
      </c>
      <c r="AP29" s="3">
        <v>0.17952755200000001</v>
      </c>
      <c r="AQ29" s="3">
        <v>-0.20178822599999999</v>
      </c>
    </row>
    <row r="30" spans="1:43" x14ac:dyDescent="0.3">
      <c r="A30" s="1">
        <v>13059</v>
      </c>
      <c r="B30" s="3">
        <v>37.5</v>
      </c>
      <c r="C30" s="3">
        <v>17.600000000000001</v>
      </c>
      <c r="D30" s="3">
        <v>4.47</v>
      </c>
      <c r="E30" s="3">
        <v>26.23</v>
      </c>
      <c r="F30" s="3">
        <f>(B30-B$161)/B$162</f>
        <v>4.6755439548129463</v>
      </c>
      <c r="G30" s="3">
        <f>(C30-C$161)/C$162</f>
        <v>-1.9463919942222001</v>
      </c>
      <c r="H30" s="3">
        <f>(D30-D$161)/D$162</f>
        <v>2.7092390742273604</v>
      </c>
      <c r="I30" s="3">
        <f>(E30-E$161)/E$162</f>
        <v>-6.7123298021010455E-2</v>
      </c>
      <c r="J30" s="2">
        <v>832508.59999999905</v>
      </c>
      <c r="K30" s="1">
        <v>3762905</v>
      </c>
      <c r="L30" s="3">
        <f>O30+P30*$G30+Q30*$H30+R30*$I30</f>
        <v>4.6755439542100943</v>
      </c>
      <c r="M30" s="3">
        <f>L30*$B$162+$B$161</f>
        <v>37.499999996576349</v>
      </c>
      <c r="N30" s="1">
        <v>3</v>
      </c>
      <c r="O30" s="3">
        <v>3.464735669</v>
      </c>
      <c r="P30" s="3">
        <v>-0.26368915900000001</v>
      </c>
      <c r="Q30" s="3">
        <v>0.259952085</v>
      </c>
      <c r="R30" s="3">
        <v>9.9913579000000002E-2</v>
      </c>
      <c r="S30" s="3">
        <f>V30+W30*$G30+X30*$H30+Y30*$I30</f>
        <v>4.0645709240407131</v>
      </c>
      <c r="T30" s="3">
        <f>S30*$B$162+$B$161</f>
        <v>34.030229788716241</v>
      </c>
      <c r="U30" s="1">
        <v>3</v>
      </c>
      <c r="V30" s="3">
        <v>0.57876851500000004</v>
      </c>
      <c r="W30" s="3">
        <v>-0.118666143</v>
      </c>
      <c r="X30" s="3">
        <v>1.1943427209999999</v>
      </c>
      <c r="Y30" s="3">
        <v>-0.28412803199999997</v>
      </c>
      <c r="Z30" s="3">
        <f>AC30+AD30*$G30+AE30*$H30+AF30*$I30</f>
        <v>2.848475495816261</v>
      </c>
      <c r="AA30" s="3">
        <f>Z30*$B$162+$B$161</f>
        <v>27.123915633411734</v>
      </c>
      <c r="AB30" s="1">
        <v>0</v>
      </c>
      <c r="AC30" s="3">
        <v>0.54283203499999999</v>
      </c>
      <c r="AD30" s="3">
        <v>-0.49819849599999999</v>
      </c>
      <c r="AE30" s="3">
        <v>0.48327922000000001</v>
      </c>
      <c r="AF30" s="3">
        <v>-0.39680633799999998</v>
      </c>
      <c r="AG30" s="3">
        <v>0.18522655299999999</v>
      </c>
      <c r="AH30" s="3">
        <v>-0.30804812799999998</v>
      </c>
      <c r="AI30" s="3">
        <v>0.71397027400000002</v>
      </c>
      <c r="AJ30" s="3">
        <v>-0.113646162</v>
      </c>
      <c r="AK30" s="3">
        <f>AN30+AO30*$G30+AP30*$H30+AQ30*$I30</f>
        <v>4.6755439538686927</v>
      </c>
      <c r="AL30" s="3">
        <f>AK30*$B$162+$B$161</f>
        <v>37.499999994637498</v>
      </c>
      <c r="AM30" s="1">
        <v>3</v>
      </c>
      <c r="AN30" s="3">
        <v>0.270513385</v>
      </c>
      <c r="AO30" s="3">
        <v>0.44600872000000003</v>
      </c>
      <c r="AP30" s="3">
        <v>1.890151015</v>
      </c>
      <c r="AQ30" s="3">
        <v>-2.2684729340000001</v>
      </c>
    </row>
    <row r="31" spans="1:43" x14ac:dyDescent="0.3">
      <c r="A31" s="1">
        <v>13061</v>
      </c>
      <c r="B31" s="3">
        <v>11.1999999999999</v>
      </c>
      <c r="C31" s="3">
        <v>100</v>
      </c>
      <c r="D31" s="3">
        <v>0.45</v>
      </c>
      <c r="E31" s="3">
        <v>60.759999999999899</v>
      </c>
      <c r="F31" s="3">
        <f>(B31-B$161)/B$162</f>
        <v>4.451949761562804E-2</v>
      </c>
      <c r="G31" s="3">
        <f>(C31-C$161)/C$162</f>
        <v>1.1038758643818527</v>
      </c>
      <c r="H31" s="3">
        <f>(D31-D$161)/D$162</f>
        <v>-0.55268722072563103</v>
      </c>
      <c r="I31" s="3">
        <f>(E31-E$161)/E$162</f>
        <v>1.9256579133877141</v>
      </c>
      <c r="J31" s="2">
        <v>695793.9</v>
      </c>
      <c r="K31" s="1">
        <v>3495219</v>
      </c>
      <c r="L31" s="3">
        <f>O31+P31*$G31+Q31*$H31+R31*$I31</f>
        <v>-0.67828946393117584</v>
      </c>
      <c r="M31" s="3">
        <f>L31*$B$162+$B$161</f>
        <v>7.0951035857439209</v>
      </c>
      <c r="N31" s="1">
        <v>0</v>
      </c>
      <c r="O31" s="3">
        <v>-0.29754170299999999</v>
      </c>
      <c r="P31" s="3">
        <v>-0.36655891800000001</v>
      </c>
      <c r="Q31" s="3">
        <v>0.15384221300000001</v>
      </c>
      <c r="R31" s="3">
        <v>5.6559581999999997E-2</v>
      </c>
      <c r="S31" s="3">
        <f>V31+W31*$G31+X31*$H31+Y31*$I31</f>
        <v>-0.75223426170595442</v>
      </c>
      <c r="T31" s="3">
        <f>S31*$B$162+$B$161</f>
        <v>6.6751644989497994</v>
      </c>
      <c r="U31" s="1">
        <v>0</v>
      </c>
      <c r="V31" s="3">
        <v>-0.54906074100000002</v>
      </c>
      <c r="W31" s="3">
        <v>-0.34651111899999998</v>
      </c>
      <c r="X31" s="3">
        <v>0.18161730300000001</v>
      </c>
      <c r="Y31" s="3">
        <v>0.14525389</v>
      </c>
      <c r="Z31" s="3">
        <f>AC31+AD31*$G31+AE31*$H31+AF31*$I31</f>
        <v>-0.71138644734530099</v>
      </c>
      <c r="AA31" s="3">
        <f>Z31*$B$162+$B$161</f>
        <v>6.9071428716866494</v>
      </c>
      <c r="AB31" s="1">
        <v>1</v>
      </c>
      <c r="AC31" s="3">
        <v>-0.27574183299999999</v>
      </c>
      <c r="AD31" s="3">
        <v>-0.23985341199999999</v>
      </c>
      <c r="AE31" s="3">
        <v>0.21363271</v>
      </c>
      <c r="AF31" s="3">
        <v>-2.7421357E-2</v>
      </c>
      <c r="AG31" s="3">
        <v>-0.13667753299999999</v>
      </c>
      <c r="AH31" s="3">
        <v>-0.37008088300000003</v>
      </c>
      <c r="AI31" s="3">
        <v>0.192070241</v>
      </c>
      <c r="AJ31" s="3">
        <v>-1.0058912E-2</v>
      </c>
      <c r="AK31" s="3">
        <f>AN31+AO31*$G31+AP31*$H31+AQ31*$I31</f>
        <v>-0.69251143533134374</v>
      </c>
      <c r="AL31" s="3">
        <f>AK31*$B$162+$B$161</f>
        <v>7.01433574457152</v>
      </c>
      <c r="AM31" s="1">
        <v>0</v>
      </c>
      <c r="AN31" s="3">
        <v>-0.25974846699999998</v>
      </c>
      <c r="AO31" s="3">
        <v>-0.46703683299999998</v>
      </c>
      <c r="AP31" s="3">
        <v>9.7003433E-2</v>
      </c>
      <c r="AQ31" s="3">
        <v>7.0833077999999994E-2</v>
      </c>
    </row>
    <row r="32" spans="1:43" x14ac:dyDescent="0.3">
      <c r="A32" s="1">
        <v>13063</v>
      </c>
      <c r="B32" s="3">
        <v>14.6999999999999</v>
      </c>
      <c r="C32" s="3">
        <v>4.4000000000000004</v>
      </c>
      <c r="D32" s="3">
        <v>4.2300000000000004</v>
      </c>
      <c r="E32" s="3">
        <v>23.82</v>
      </c>
      <c r="F32" s="3">
        <f>(B32-B$161)/B$162</f>
        <v>0.66081552804112431</v>
      </c>
      <c r="G32" s="3">
        <f>(C32-C$161)/C$162</f>
        <v>-2.4350271366199365</v>
      </c>
      <c r="H32" s="3">
        <f>(D32-D$161)/D$162</f>
        <v>2.5144972058719586</v>
      </c>
      <c r="I32" s="3">
        <f>(E32-E$161)/E$162</f>
        <v>-0.20620823052883092</v>
      </c>
      <c r="J32" s="2">
        <v>745538.8</v>
      </c>
      <c r="K32" s="1">
        <v>3711726</v>
      </c>
      <c r="L32" s="3">
        <f>O32+P32*$G32+Q32*$H32+R32*$I32</f>
        <v>0.97021197291003047</v>
      </c>
      <c r="M32" s="3">
        <f>L32*$B$162+$B$161</f>
        <v>16.457089943113012</v>
      </c>
      <c r="N32" s="1">
        <v>0</v>
      </c>
      <c r="O32" s="3">
        <v>-0.29754170299999999</v>
      </c>
      <c r="P32" s="3">
        <v>-0.36655891800000001</v>
      </c>
      <c r="Q32" s="3">
        <v>0.15384221300000001</v>
      </c>
      <c r="R32" s="3">
        <v>5.6559581999999997E-2</v>
      </c>
      <c r="S32" s="3">
        <f>V32+W32*$G32+X32*$H32+Y32*$I32</f>
        <v>1.8708116194407061</v>
      </c>
      <c r="T32" s="3">
        <f>S32*$B$162+$B$161</f>
        <v>21.571675478705586</v>
      </c>
      <c r="U32" s="1">
        <v>1</v>
      </c>
      <c r="V32" s="3">
        <v>-0.18342203200000001</v>
      </c>
      <c r="W32" s="3">
        <v>-0.17380490200000001</v>
      </c>
      <c r="X32" s="3">
        <v>0.64175570999999998</v>
      </c>
      <c r="Y32" s="3">
        <v>-8.3997902999999999E-2</v>
      </c>
      <c r="Z32" s="3">
        <f>AC32+AD32*$G32+AE32*$H32+AF32*$I32</f>
        <v>0.85114109591440568</v>
      </c>
      <c r="AA32" s="3">
        <f>Z32*$B$162+$B$161</f>
        <v>15.780875836724949</v>
      </c>
      <c r="AB32" s="1">
        <v>1</v>
      </c>
      <c r="AC32" s="3">
        <v>-0.27574183299999999</v>
      </c>
      <c r="AD32" s="3">
        <v>-0.23985341199999999</v>
      </c>
      <c r="AE32" s="3">
        <v>0.21363271</v>
      </c>
      <c r="AF32" s="3">
        <v>-2.7421357E-2</v>
      </c>
      <c r="AG32" s="3">
        <v>0.15070487599999999</v>
      </c>
      <c r="AH32" s="3">
        <v>-0.27429726100000001</v>
      </c>
      <c r="AI32" s="3">
        <v>0.68925285199999997</v>
      </c>
      <c r="AJ32" s="3">
        <v>-9.5468715999999995E-2</v>
      </c>
      <c r="AK32" s="3">
        <f>AN32+AO32*$G32+AP32*$H32+AQ32*$I32</f>
        <v>0.66081552921166264</v>
      </c>
      <c r="AL32" s="3">
        <f>AK32*$B$162+$B$161</f>
        <v>14.700000006647491</v>
      </c>
      <c r="AM32" s="1">
        <v>1</v>
      </c>
      <c r="AN32" s="3">
        <v>5.9513438949999999</v>
      </c>
      <c r="AO32" s="3">
        <v>2.6258562620000001</v>
      </c>
      <c r="AP32" s="3">
        <v>0.60460221000000003</v>
      </c>
      <c r="AQ32" s="3">
        <v>2.0211010859999998</v>
      </c>
    </row>
    <row r="33" spans="1:43" x14ac:dyDescent="0.3">
      <c r="A33" s="1">
        <v>13065</v>
      </c>
      <c r="B33" s="3">
        <v>6.7</v>
      </c>
      <c r="C33" s="3">
        <v>58.6</v>
      </c>
      <c r="D33" s="3">
        <v>0.11</v>
      </c>
      <c r="E33" s="3">
        <v>27.2899999999999</v>
      </c>
      <c r="F33" s="3">
        <f>(B33-B$161)/B$162</f>
        <v>-0.74786111293142088</v>
      </c>
      <c r="G33" s="3">
        <f>(C33-C$161)/C$162</f>
        <v>-0.4286616276837758</v>
      </c>
      <c r="H33" s="3">
        <f>(D33-D$161)/D$162</f>
        <v>-0.82857153422911789</v>
      </c>
      <c r="I33" s="3">
        <f>(E33-E$161)/E$162</f>
        <v>-5.9490123536761544E-3</v>
      </c>
      <c r="J33" s="2">
        <v>908046.09999999905</v>
      </c>
      <c r="K33" s="1">
        <v>3428340</v>
      </c>
      <c r="L33" s="3">
        <f>O33+P33*$G33+Q33*$H33+R33*$I33</f>
        <v>-0.2682177126747658</v>
      </c>
      <c r="M33" s="3">
        <f>L33*$B$162+$B$161</f>
        <v>9.4239375527687042</v>
      </c>
      <c r="N33" s="1">
        <v>0</v>
      </c>
      <c r="O33" s="3">
        <v>-0.29754170299999999</v>
      </c>
      <c r="P33" s="3">
        <v>-0.36655891800000001</v>
      </c>
      <c r="Q33" s="3">
        <v>0.15384221300000001</v>
      </c>
      <c r="R33" s="3">
        <v>5.6559581999999997E-2</v>
      </c>
      <c r="S33" s="3">
        <f>V33+W33*$G33+X33*$H33+Y33*$I33</f>
        <v>8.942674615463149E-2</v>
      </c>
      <c r="T33" s="3">
        <f>S33*$B$162+$B$161</f>
        <v>11.455032260678257</v>
      </c>
      <c r="U33" s="1">
        <v>2</v>
      </c>
      <c r="V33" s="3">
        <v>-0.13655372900000001</v>
      </c>
      <c r="W33" s="3">
        <v>-0.53975352499999996</v>
      </c>
      <c r="X33" s="3">
        <v>6.0196410000000001E-3</v>
      </c>
      <c r="Y33" s="3">
        <v>6.7817348E-2</v>
      </c>
      <c r="Z33" s="3">
        <f>AC33+AD33*$G33+AE33*$H33+AF33*$I33</f>
        <v>-0.34977273130124942</v>
      </c>
      <c r="AA33" s="3">
        <f>Z33*$B$162+$B$161</f>
        <v>8.9607793445361761</v>
      </c>
      <c r="AB33" s="1">
        <v>1</v>
      </c>
      <c r="AC33" s="3">
        <v>-0.27574183299999999</v>
      </c>
      <c r="AD33" s="3">
        <v>-0.23985341199999999</v>
      </c>
      <c r="AE33" s="3">
        <v>0.21363271</v>
      </c>
      <c r="AF33" s="3">
        <v>-2.7421357E-2</v>
      </c>
      <c r="AG33" s="3">
        <v>-0.28197915400000001</v>
      </c>
      <c r="AH33" s="3">
        <v>-0.42607959400000001</v>
      </c>
      <c r="AI33" s="3">
        <v>0.14186479399999999</v>
      </c>
      <c r="AJ33" s="3">
        <v>9.4126394000000002E-2</v>
      </c>
      <c r="AK33" s="3">
        <f>AN33+AO33*$G33+AP33*$H33+AQ33*$I33</f>
        <v>-0.14034336814031656</v>
      </c>
      <c r="AL33" s="3">
        <f>AK33*$B$162+$B$161</f>
        <v>10.150147334716468</v>
      </c>
      <c r="AM33" s="1">
        <v>0</v>
      </c>
      <c r="AN33" s="3">
        <v>-0.25974846699999998</v>
      </c>
      <c r="AO33" s="3">
        <v>-0.46703683299999998</v>
      </c>
      <c r="AP33" s="3">
        <v>9.7003433E-2</v>
      </c>
      <c r="AQ33" s="3">
        <v>7.0833077999999994E-2</v>
      </c>
    </row>
    <row r="34" spans="1:43" x14ac:dyDescent="0.3">
      <c r="A34" s="1">
        <v>13067</v>
      </c>
      <c r="B34" s="3">
        <v>33</v>
      </c>
      <c r="C34" s="3">
        <v>5.8</v>
      </c>
      <c r="D34" s="3">
        <v>4.12</v>
      </c>
      <c r="E34" s="3">
        <v>9.84</v>
      </c>
      <c r="F34" s="3">
        <f>(B34-B$161)/B$162</f>
        <v>3.8831633442658799</v>
      </c>
      <c r="G34" s="3">
        <f>(C34-C$161)/C$162</f>
        <v>-2.3832021972747226</v>
      </c>
      <c r="H34" s="3">
        <f>(D34-D$161)/D$162</f>
        <v>2.4252405162090653</v>
      </c>
      <c r="I34" s="3">
        <f>(E34-E$161)/E$162</f>
        <v>-1.0130162622546939</v>
      </c>
      <c r="J34" s="2">
        <v>724646.8</v>
      </c>
      <c r="K34" s="1">
        <v>3757187</v>
      </c>
      <c r="L34" s="3">
        <f>O34+P34*$G34+Q34*$H34+R34*$I34</f>
        <v>3.6270924411014969</v>
      </c>
      <c r="M34" s="3">
        <f>L34*$B$162+$B$161</f>
        <v>31.545750553582891</v>
      </c>
      <c r="N34" s="1">
        <v>2</v>
      </c>
      <c r="O34" s="3">
        <v>0.94371922399999997</v>
      </c>
      <c r="P34" s="3">
        <v>-0.79405312100000003</v>
      </c>
      <c r="Q34" s="3">
        <v>0.26666736400000002</v>
      </c>
      <c r="R34" s="3">
        <v>-0.14239808800000001</v>
      </c>
      <c r="S34" s="3">
        <f>V34+W34*$G34+X34*$H34+Y34*$I34</f>
        <v>4.0459686019267176</v>
      </c>
      <c r="T34" s="3">
        <f>S34*$B$162+$B$161</f>
        <v>33.924585546039502</v>
      </c>
      <c r="U34" s="1">
        <v>3</v>
      </c>
      <c r="V34" s="3">
        <v>0.57876851500000004</v>
      </c>
      <c r="W34" s="3">
        <v>-0.118666143</v>
      </c>
      <c r="X34" s="3">
        <v>1.1943427209999999</v>
      </c>
      <c r="Y34" s="3">
        <v>-0.28412803199999997</v>
      </c>
      <c r="Z34" s="3">
        <f>AC34+AD34*$G34+AE34*$H34+AF34*$I34</f>
        <v>3.3041794036918093</v>
      </c>
      <c r="AA34" s="3">
        <f>Z34*$B$162+$B$161</f>
        <v>29.711898678610389</v>
      </c>
      <c r="AB34" s="1">
        <v>0</v>
      </c>
      <c r="AC34" s="3">
        <v>0.54283203499999999</v>
      </c>
      <c r="AD34" s="3">
        <v>-0.49819849599999999</v>
      </c>
      <c r="AE34" s="3">
        <v>0.48327922000000001</v>
      </c>
      <c r="AF34" s="3">
        <v>-0.39680633799999998</v>
      </c>
      <c r="AG34" s="3">
        <v>0.13228779399999999</v>
      </c>
      <c r="AH34" s="3">
        <v>-0.271952584</v>
      </c>
      <c r="AI34" s="3">
        <v>0.70853160699999995</v>
      </c>
      <c r="AJ34" s="3">
        <v>-6.3682252999999994E-2</v>
      </c>
      <c r="AK34" s="3">
        <f>AN34+AO34*$G34+AP34*$H34+AQ34*$I34</f>
        <v>3.5377910564128574</v>
      </c>
      <c r="AL34" s="3">
        <f>AK34*$B$162+$B$161</f>
        <v>31.038600043146459</v>
      </c>
      <c r="AM34" s="1">
        <v>4</v>
      </c>
      <c r="AN34" s="3">
        <v>0.61558443699999998</v>
      </c>
      <c r="AO34" s="3">
        <v>-0.957700683</v>
      </c>
      <c r="AP34" s="3">
        <v>0.17952755200000001</v>
      </c>
      <c r="AQ34" s="3">
        <v>-0.20178822599999999</v>
      </c>
    </row>
    <row r="35" spans="1:43" x14ac:dyDescent="0.3">
      <c r="A35" s="1">
        <v>13069</v>
      </c>
      <c r="B35" s="3">
        <v>11.1</v>
      </c>
      <c r="C35" s="3">
        <v>64.599999999999895</v>
      </c>
      <c r="D35" s="3">
        <v>1.49</v>
      </c>
      <c r="E35" s="3">
        <v>25.46</v>
      </c>
      <c r="F35" s="3">
        <f>(B35-B$161)/B$162</f>
        <v>2.691103960348858E-2</v>
      </c>
      <c r="G35" s="3">
        <f>(C35-C$161)/C$162</f>
        <v>-0.20655474477571764</v>
      </c>
      <c r="H35" s="3">
        <f>(D35-D$161)/D$162</f>
        <v>0.29119420881444641</v>
      </c>
      <c r="I35" s="3">
        <f>(E35-E$161)/E$162</f>
        <v>-0.11156122251521032</v>
      </c>
      <c r="J35" s="2">
        <v>894463.9</v>
      </c>
      <c r="K35" s="1">
        <v>3492465</v>
      </c>
      <c r="L35" s="3">
        <f>O35+P35*$G35+Q35*$H35+R35*$I35</f>
        <v>-0.1833391138633175</v>
      </c>
      <c r="M35" s="3">
        <f>L35*$B$162+$B$161</f>
        <v>9.9059706686318165</v>
      </c>
      <c r="N35" s="1">
        <v>0</v>
      </c>
      <c r="O35" s="3">
        <v>-0.29754170299999999</v>
      </c>
      <c r="P35" s="3">
        <v>-0.36655891800000001</v>
      </c>
      <c r="Q35" s="3">
        <v>0.15384221300000001</v>
      </c>
      <c r="R35" s="3">
        <v>5.6559581999999997E-2</v>
      </c>
      <c r="S35" s="3">
        <f>V35+W35*$G35+X35*$H35+Y35*$I35</f>
        <v>-3.0877979054108537E-2</v>
      </c>
      <c r="T35" s="3">
        <f>S35*$B$162+$B$161</f>
        <v>10.771811020489704</v>
      </c>
      <c r="U35" s="1">
        <v>2</v>
      </c>
      <c r="V35" s="3">
        <v>-0.13655372900000001</v>
      </c>
      <c r="W35" s="3">
        <v>-0.53975352499999996</v>
      </c>
      <c r="X35" s="3">
        <v>6.0196410000000001E-3</v>
      </c>
      <c r="Y35" s="3">
        <v>6.7817348E-2</v>
      </c>
      <c r="Z35" s="3">
        <f>AC35+AD35*$G35+AE35*$H35+AF35*$I35</f>
        <v>-0.16093120462547286</v>
      </c>
      <c r="AA35" s="3">
        <f>Z35*$B$162+$B$161</f>
        <v>10.033227179238105</v>
      </c>
      <c r="AB35" s="1">
        <v>1</v>
      </c>
      <c r="AC35" s="3">
        <v>-0.27574183299999999</v>
      </c>
      <c r="AD35" s="3">
        <v>-0.23985341199999999</v>
      </c>
      <c r="AE35" s="3">
        <v>0.21363271</v>
      </c>
      <c r="AF35" s="3">
        <v>-2.7421357E-2</v>
      </c>
      <c r="AG35" s="3">
        <v>-0.27217663199999997</v>
      </c>
      <c r="AH35" s="3">
        <v>-0.40642427399999997</v>
      </c>
      <c r="AI35" s="3">
        <v>0.18343509799999999</v>
      </c>
      <c r="AJ35" s="3">
        <v>9.1609014000000002E-2</v>
      </c>
      <c r="AK35" s="3">
        <f>AN35+AO35*$G35+AP35*$H35+AQ35*$I35</f>
        <v>-0.14293518001030062</v>
      </c>
      <c r="AL35" s="3">
        <f>AK35*$B$162+$B$161</f>
        <v>10.135428204465571</v>
      </c>
      <c r="AM35" s="1">
        <v>0</v>
      </c>
      <c r="AN35" s="3">
        <v>-0.25974846699999998</v>
      </c>
      <c r="AO35" s="3">
        <v>-0.46703683299999998</v>
      </c>
      <c r="AP35" s="3">
        <v>9.7003433E-2</v>
      </c>
      <c r="AQ35" s="3">
        <v>7.0833077999999994E-2</v>
      </c>
    </row>
    <row r="36" spans="1:43" x14ac:dyDescent="0.3">
      <c r="A36" s="1">
        <v>13071</v>
      </c>
      <c r="B36" s="3">
        <v>10</v>
      </c>
      <c r="C36" s="3">
        <v>59.399999999999899</v>
      </c>
      <c r="D36" s="3">
        <v>3.01</v>
      </c>
      <c r="E36" s="3">
        <v>24.16</v>
      </c>
      <c r="F36" s="3">
        <f>(B36-B$161)/B$162</f>
        <v>-0.16678199853023876</v>
      </c>
      <c r="G36" s="3">
        <f>(C36-C$161)/C$162</f>
        <v>-0.39904737662937129</v>
      </c>
      <c r="H36" s="3">
        <f>(D36-D$161)/D$162</f>
        <v>1.5245593750653288</v>
      </c>
      <c r="I36" s="3">
        <f>(E36-E$161)/E$162</f>
        <v>-0.18658628984308032</v>
      </c>
      <c r="J36" s="2">
        <v>808691.8</v>
      </c>
      <c r="K36" s="1">
        <v>3455994</v>
      </c>
      <c r="L36" s="3">
        <f>O36+P36*$G36+Q36*$H36+R36*$I36</f>
        <v>7.2721017157492587E-2</v>
      </c>
      <c r="M36" s="3">
        <f>L36*$B$162+$B$161</f>
        <v>11.360158939086979</v>
      </c>
      <c r="N36" s="1">
        <v>0</v>
      </c>
      <c r="O36" s="3">
        <v>-0.29754170299999999</v>
      </c>
      <c r="P36" s="3">
        <v>-0.36655891800000001</v>
      </c>
      <c r="Q36" s="3">
        <v>0.15384221300000001</v>
      </c>
      <c r="R36" s="3">
        <v>5.6559581999999997E-2</v>
      </c>
      <c r="S36" s="3">
        <f>V36+W36*$G36+X36*$H36+Y36*$I36</f>
        <v>-0.16100241044778654</v>
      </c>
      <c r="T36" s="3">
        <f>S36*$B$162+$B$161</f>
        <v>10.032822795036692</v>
      </c>
      <c r="U36" s="1">
        <v>0</v>
      </c>
      <c r="V36" s="3">
        <v>-0.54906074100000002</v>
      </c>
      <c r="W36" s="3">
        <v>-0.34651111899999998</v>
      </c>
      <c r="X36" s="3">
        <v>0.18161730300000001</v>
      </c>
      <c r="Y36" s="3">
        <v>0.14525389</v>
      </c>
      <c r="Z36" s="3">
        <f>AC36+AD36*$G36+AE36*$H36+AF36*$I36</f>
        <v>0.15078324195040899</v>
      </c>
      <c r="AA36" s="3">
        <f>Z36*$B$162+$B$161</f>
        <v>11.803481260320455</v>
      </c>
      <c r="AB36" s="1">
        <v>1</v>
      </c>
      <c r="AC36" s="3">
        <v>-0.27574183299999999</v>
      </c>
      <c r="AD36" s="3">
        <v>-0.23985341199999999</v>
      </c>
      <c r="AE36" s="3">
        <v>0.21363271</v>
      </c>
      <c r="AF36" s="3">
        <v>-2.7421357E-2</v>
      </c>
      <c r="AG36" s="3">
        <v>-0.29157372199999998</v>
      </c>
      <c r="AH36" s="3">
        <v>-0.37183269899999999</v>
      </c>
      <c r="AI36" s="3">
        <v>0.138350205</v>
      </c>
      <c r="AJ36" s="3">
        <v>9.8308096999999997E-2</v>
      </c>
      <c r="AK36" s="3">
        <f>AN36+AO36*$G36+AP36*$H36+AQ36*$I36</f>
        <v>6.1292367969425783E-2</v>
      </c>
      <c r="AL36" s="3">
        <f>AK36*$B$162+$B$161</f>
        <v>11.295254623330447</v>
      </c>
      <c r="AM36" s="1">
        <v>0</v>
      </c>
      <c r="AN36" s="3">
        <v>-0.25974846699999998</v>
      </c>
      <c r="AO36" s="3">
        <v>-0.46703683299999998</v>
      </c>
      <c r="AP36" s="3">
        <v>9.7003433E-2</v>
      </c>
      <c r="AQ36" s="3">
        <v>7.0833077999999994E-2</v>
      </c>
    </row>
    <row r="37" spans="1:43" x14ac:dyDescent="0.3">
      <c r="A37" s="1">
        <v>13073</v>
      </c>
      <c r="B37" s="3">
        <v>23.899999999999899</v>
      </c>
      <c r="C37" s="3">
        <v>30.6</v>
      </c>
      <c r="D37" s="3">
        <v>3.49</v>
      </c>
      <c r="E37" s="3">
        <v>10.93</v>
      </c>
      <c r="F37" s="3">
        <f>(B37-B$161)/B$162</f>
        <v>2.2807936651595715</v>
      </c>
      <c r="G37" s="3">
        <f>(C37-C$161)/C$162</f>
        <v>-1.4651604145880657</v>
      </c>
      <c r="H37" s="3">
        <f>(D37-D$161)/D$162</f>
        <v>1.9140431117761341</v>
      </c>
      <c r="I37" s="3">
        <f>(E37-E$161)/E$162</f>
        <v>-0.95011062887978759</v>
      </c>
      <c r="J37" s="2">
        <v>942527.9</v>
      </c>
      <c r="K37" s="1">
        <v>3722100</v>
      </c>
      <c r="L37" s="3">
        <f>O37+P37*$G37+Q37*$H37+R37*$I37</f>
        <v>1.5684682587416565</v>
      </c>
      <c r="M37" s="3">
        <f>L37*$B$162+$B$161</f>
        <v>19.854640628235948</v>
      </c>
      <c r="N37" s="1">
        <v>1</v>
      </c>
      <c r="O37" s="3">
        <v>0.152735132</v>
      </c>
      <c r="P37" s="3">
        <v>-0.40878743200000001</v>
      </c>
      <c r="Q37" s="3">
        <v>0.37351620499999999</v>
      </c>
      <c r="R37" s="3">
        <v>-0.107216824</v>
      </c>
      <c r="S37" s="3">
        <f>V37+W37*$G37+X37*$H37+Y37*$I37</f>
        <v>3.3086099716713582</v>
      </c>
      <c r="T37" s="3">
        <f>S37*$B$162+$B$161</f>
        <v>29.737060268435521</v>
      </c>
      <c r="U37" s="1">
        <v>3</v>
      </c>
      <c r="V37" s="3">
        <v>0.57876851500000004</v>
      </c>
      <c r="W37" s="3">
        <v>-0.118666143</v>
      </c>
      <c r="X37" s="3">
        <v>1.1943427209999999</v>
      </c>
      <c r="Y37" s="3">
        <v>-0.28412803199999997</v>
      </c>
      <c r="Z37" s="3">
        <f>AC37+AD37*$G37+AE37*$H37+AF37*$I37</f>
        <v>2.5747999313927195</v>
      </c>
      <c r="AA37" s="3">
        <f>Z37*$B$162+$B$161</f>
        <v>25.569687749092768</v>
      </c>
      <c r="AB37" s="1">
        <v>0</v>
      </c>
      <c r="AC37" s="3">
        <v>0.54283203499999999</v>
      </c>
      <c r="AD37" s="3">
        <v>-0.49819849599999999</v>
      </c>
      <c r="AE37" s="3">
        <v>0.48327922000000001</v>
      </c>
      <c r="AF37" s="3">
        <v>-0.39680633799999998</v>
      </c>
      <c r="AG37" s="3">
        <v>0.17330801900000001</v>
      </c>
      <c r="AH37" s="3">
        <v>-0.28240648000000002</v>
      </c>
      <c r="AI37" s="3">
        <v>0.69053499299999999</v>
      </c>
      <c r="AJ37" s="3">
        <v>-0.16958006</v>
      </c>
      <c r="AK37" s="3">
        <f>AN37+AO37*$G37+AP37*$H37+AQ37*$I37</f>
        <v>1.8666351047718623</v>
      </c>
      <c r="AL37" s="3">
        <f>AK37*$B$162+$B$161</f>
        <v>21.547956680239757</v>
      </c>
      <c r="AM37" s="1">
        <v>2</v>
      </c>
      <c r="AN37" s="3">
        <v>7.5780177000000004E-2</v>
      </c>
      <c r="AO37" s="3">
        <v>-0.16857382100000001</v>
      </c>
      <c r="AP37" s="3">
        <v>0.83152748499999996</v>
      </c>
      <c r="AQ37" s="3">
        <v>5.0217537999999999E-2</v>
      </c>
    </row>
    <row r="38" spans="1:43" x14ac:dyDescent="0.3">
      <c r="A38" s="1">
        <v>13075</v>
      </c>
      <c r="B38" s="3">
        <v>6.5</v>
      </c>
      <c r="C38" s="3">
        <v>62</v>
      </c>
      <c r="D38" s="3">
        <v>1.89</v>
      </c>
      <c r="E38" s="3">
        <v>29.94</v>
      </c>
      <c r="F38" s="3">
        <f>(B38-B$161)/B$162</f>
        <v>-0.78307802895573508</v>
      </c>
      <c r="G38" s="3">
        <f>(C38-C$161)/C$162</f>
        <v>-0.30280106070254065</v>
      </c>
      <c r="H38" s="3">
        <f>(D38-D$161)/D$162</f>
        <v>0.6157639894067839</v>
      </c>
      <c r="I38" s="3">
        <f>(E38-E$161)/E$162</f>
        <v>0.14698670181467999</v>
      </c>
      <c r="J38" s="2">
        <v>839816.09999999905</v>
      </c>
      <c r="K38" s="1">
        <v>3449007</v>
      </c>
      <c r="L38" s="3">
        <f>O38+P38*$G38+Q38*$H38+R38*$I38</f>
        <v>-8.3503272589379243E-2</v>
      </c>
      <c r="M38" s="3">
        <f>L38*$B$162+$B$161</f>
        <v>10.47294729546087</v>
      </c>
      <c r="N38" s="1">
        <v>0</v>
      </c>
      <c r="O38" s="3">
        <v>-0.29754170299999999</v>
      </c>
      <c r="P38" s="3">
        <v>-0.36655891800000001</v>
      </c>
      <c r="Q38" s="3">
        <v>0.15384221300000001</v>
      </c>
      <c r="R38" s="3">
        <v>5.6559581999999997E-2</v>
      </c>
      <c r="S38" s="3">
        <f>V38+W38*$G38+X38*$H38+Y38*$I38</f>
        <v>-0.31095302136414277</v>
      </c>
      <c r="T38" s="3">
        <f>S38*$B$162+$B$161</f>
        <v>9.1812399317738844</v>
      </c>
      <c r="U38" s="1">
        <v>0</v>
      </c>
      <c r="V38" s="3">
        <v>-0.54906074100000002</v>
      </c>
      <c r="W38" s="3">
        <v>-0.34651111899999998</v>
      </c>
      <c r="X38" s="3">
        <v>0.18161730300000001</v>
      </c>
      <c r="Y38" s="3">
        <v>0.14525389</v>
      </c>
      <c r="Z38" s="3">
        <f>AC38+AD38*$G38+AE38*$H38+AF38*$I38</f>
        <v>-7.5597210480606858E-2</v>
      </c>
      <c r="AA38" s="3">
        <f>Z38*$B$162+$B$161</f>
        <v>10.517846525724609</v>
      </c>
      <c r="AB38" s="1">
        <v>1</v>
      </c>
      <c r="AC38" s="3">
        <v>-0.27574183299999999</v>
      </c>
      <c r="AD38" s="3">
        <v>-0.23985341199999999</v>
      </c>
      <c r="AE38" s="3">
        <v>0.21363271</v>
      </c>
      <c r="AF38" s="3">
        <v>-2.7421357E-2</v>
      </c>
      <c r="AG38" s="3">
        <v>-0.28961104999999998</v>
      </c>
      <c r="AH38" s="3">
        <v>-0.38886711499999999</v>
      </c>
      <c r="AI38" s="3">
        <v>0.13962920700000001</v>
      </c>
      <c r="AJ38" s="3">
        <v>9.7908657999999996E-2</v>
      </c>
      <c r="AK38" s="3">
        <f>AN38+AO38*$G38+AP38*$H38+AQ38*$I38</f>
        <v>-4.8186477175609012E-2</v>
      </c>
      <c r="AL38" s="3">
        <f>AK38*$B$162+$B$161</f>
        <v>10.673514519401701</v>
      </c>
      <c r="AM38" s="1">
        <v>0</v>
      </c>
      <c r="AN38" s="3">
        <v>-0.25974846699999998</v>
      </c>
      <c r="AO38" s="3">
        <v>-0.46703683299999998</v>
      </c>
      <c r="AP38" s="3">
        <v>9.7003433E-2</v>
      </c>
      <c r="AQ38" s="3">
        <v>7.0833077999999994E-2</v>
      </c>
    </row>
    <row r="39" spans="1:43" x14ac:dyDescent="0.3">
      <c r="A39" s="1">
        <v>13077</v>
      </c>
      <c r="B39" s="3">
        <v>13.3</v>
      </c>
      <c r="C39" s="3">
        <v>76.099999999999895</v>
      </c>
      <c r="D39" s="3">
        <v>0.8</v>
      </c>
      <c r="E39" s="3">
        <v>22.59</v>
      </c>
      <c r="F39" s="3">
        <f>(B39-B$161)/B$162</f>
        <v>0.41429711587094359</v>
      </c>
      <c r="G39" s="3">
        <f>(C39-C$161)/C$162</f>
        <v>0.21915011413140137</v>
      </c>
      <c r="H39" s="3">
        <f>(D39-D$161)/D$162</f>
        <v>-0.26868866270733571</v>
      </c>
      <c r="I39" s="3">
        <f>(E39-E$161)/E$162</f>
        <v>-0.27719348653904635</v>
      </c>
      <c r="J39" s="2">
        <v>705457.9</v>
      </c>
      <c r="K39" s="1">
        <v>3694344</v>
      </c>
      <c r="L39" s="3">
        <f>O39+P39*$G39+Q39*$H39+R39*$I39</f>
        <v>0.73752371697481811</v>
      </c>
      <c r="M39" s="3">
        <f>L39*$B$162+$B$161</f>
        <v>15.13563263109533</v>
      </c>
      <c r="N39" s="1">
        <v>2</v>
      </c>
      <c r="O39" s="3">
        <v>0.94371922399999997</v>
      </c>
      <c r="P39" s="3">
        <v>-0.79405312100000003</v>
      </c>
      <c r="Q39" s="3">
        <v>0.26666736400000002</v>
      </c>
      <c r="R39" s="3">
        <v>-0.14239808800000001</v>
      </c>
      <c r="S39" s="3">
        <f>V39+W39*$G39+X39*$H39+Y39*$I39</f>
        <v>0.31061490751184401</v>
      </c>
      <c r="T39" s="3">
        <f>S39*$B$162+$B$161</f>
        <v>12.711179512212164</v>
      </c>
      <c r="U39" s="1">
        <v>3</v>
      </c>
      <c r="V39" s="3">
        <v>0.57876851500000004</v>
      </c>
      <c r="W39" s="3">
        <v>-0.118666143</v>
      </c>
      <c r="X39" s="3">
        <v>1.1943427209999999</v>
      </c>
      <c r="Y39" s="3">
        <v>-0.28412803199999997</v>
      </c>
      <c r="Z39" s="3">
        <f>AC39+AD39*$G39+AE39*$H39+AF39*$I39</f>
        <v>0.4137922627164744</v>
      </c>
      <c r="AA39" s="3">
        <f>Z39*$B$162+$B$161</f>
        <v>13.297132894009682</v>
      </c>
      <c r="AB39" s="1">
        <v>0</v>
      </c>
      <c r="AC39" s="3">
        <v>0.54283203499999999</v>
      </c>
      <c r="AD39" s="3">
        <v>-0.49819849599999999</v>
      </c>
      <c r="AE39" s="3">
        <v>0.48327922000000001</v>
      </c>
      <c r="AF39" s="3">
        <v>-0.39680633799999998</v>
      </c>
      <c r="AG39" s="3">
        <v>0.12802201699999999</v>
      </c>
      <c r="AH39" s="3">
        <v>-0.26509902800000001</v>
      </c>
      <c r="AI39" s="3">
        <v>0.66104279799999999</v>
      </c>
      <c r="AJ39" s="3">
        <v>-8.1521996999999999E-2</v>
      </c>
      <c r="AK39" s="3">
        <f>AN39+AO39*$G39+AP39*$H39+AQ39*$I39</f>
        <v>-0.19850477750438764</v>
      </c>
      <c r="AL39" s="3">
        <f>AK39*$B$162+$B$161</f>
        <v>9.819843515245644</v>
      </c>
      <c r="AM39" s="1">
        <v>2</v>
      </c>
      <c r="AN39" s="3">
        <v>7.5780177000000004E-2</v>
      </c>
      <c r="AO39" s="3">
        <v>-0.16857382100000001</v>
      </c>
      <c r="AP39" s="3">
        <v>0.83152748499999996</v>
      </c>
      <c r="AQ39" s="3">
        <v>5.0217537999999999E-2</v>
      </c>
    </row>
    <row r="40" spans="1:43" x14ac:dyDescent="0.3">
      <c r="A40" s="1">
        <v>13079</v>
      </c>
      <c r="B40" s="3">
        <v>5.7</v>
      </c>
      <c r="C40" s="3">
        <v>100</v>
      </c>
      <c r="D40" s="3">
        <v>1.01</v>
      </c>
      <c r="E40" s="3">
        <v>30.66</v>
      </c>
      <c r="F40" s="3">
        <f>(B40-B$161)/B$162</f>
        <v>-0.92394569305299135</v>
      </c>
      <c r="G40" s="3">
        <f>(C40-C$161)/C$162</f>
        <v>1.1038758643818527</v>
      </c>
      <c r="H40" s="3">
        <f>(D40-D$161)/D$162</f>
        <v>-9.8289527896358544E-2</v>
      </c>
      <c r="I40" s="3">
        <f>(E40-E$161)/E$162</f>
        <v>0.18853904679626945</v>
      </c>
      <c r="J40" s="2">
        <v>783416.5</v>
      </c>
      <c r="K40" s="1">
        <v>3623343</v>
      </c>
      <c r="L40" s="3">
        <f>O40+P40*$G40+Q40*$H40+R40*$I40</f>
        <v>-0.70663463426295225</v>
      </c>
      <c r="M40" s="3">
        <f>L40*$B$162+$B$161</f>
        <v>6.9341288410376736</v>
      </c>
      <c r="N40" s="1">
        <v>0</v>
      </c>
      <c r="O40" s="3">
        <v>-0.29754170299999999</v>
      </c>
      <c r="P40" s="3">
        <v>-0.36655891800000001</v>
      </c>
      <c r="Q40" s="3">
        <v>0.15384221300000001</v>
      </c>
      <c r="R40" s="3">
        <v>5.6559581999999997E-2</v>
      </c>
      <c r="S40" s="3">
        <f>V40+W40*$G40+X40*$H40+Y40*$I40</f>
        <v>-0.92203105100967775</v>
      </c>
      <c r="T40" s="3">
        <f>S40*$B$162+$B$161</f>
        <v>5.7108734225449593</v>
      </c>
      <c r="U40" s="1">
        <v>0</v>
      </c>
      <c r="V40" s="3">
        <v>-0.54906074100000002</v>
      </c>
      <c r="W40" s="3">
        <v>-0.34651111899999998</v>
      </c>
      <c r="X40" s="3">
        <v>0.18161730300000001</v>
      </c>
      <c r="Y40" s="3">
        <v>0.14525389</v>
      </c>
      <c r="Z40" s="3">
        <f>AC40+AD40*$G40+AE40*$H40+AF40*$I40</f>
        <v>-0.56667808021619659</v>
      </c>
      <c r="AA40" s="3">
        <f>Z40*$B$162+$B$161</f>
        <v>7.7289545659826313</v>
      </c>
      <c r="AB40" s="1">
        <v>1</v>
      </c>
      <c r="AC40" s="3">
        <v>-0.27574183299999999</v>
      </c>
      <c r="AD40" s="3">
        <v>-0.23985341199999999</v>
      </c>
      <c r="AE40" s="3">
        <v>0.21363271</v>
      </c>
      <c r="AF40" s="3">
        <v>-2.7421357E-2</v>
      </c>
      <c r="AG40" s="3">
        <v>0.129598925</v>
      </c>
      <c r="AH40" s="3">
        <v>-0.28010866000000001</v>
      </c>
      <c r="AI40" s="3">
        <v>0.52950875600000002</v>
      </c>
      <c r="AJ40" s="3">
        <v>-0.142119038</v>
      </c>
      <c r="AK40" s="3">
        <f>AN40+AO40*$G40+AP40*$H40+AQ40*$I40</f>
        <v>-0.77147877535216824</v>
      </c>
      <c r="AL40" s="3">
        <f>AK40*$B$162+$B$161</f>
        <v>6.5658731934139754</v>
      </c>
      <c r="AM40" s="1">
        <v>0</v>
      </c>
      <c r="AN40" s="3">
        <v>-0.25974846699999998</v>
      </c>
      <c r="AO40" s="3">
        <v>-0.46703683299999998</v>
      </c>
      <c r="AP40" s="3">
        <v>9.7003433E-2</v>
      </c>
      <c r="AQ40" s="3">
        <v>7.0833077999999994E-2</v>
      </c>
    </row>
    <row r="41" spans="1:43" x14ac:dyDescent="0.3">
      <c r="A41" s="1">
        <v>13081</v>
      </c>
      <c r="B41" s="3">
        <v>10</v>
      </c>
      <c r="C41" s="3">
        <v>48.399999999999899</v>
      </c>
      <c r="D41" s="3">
        <v>0.3</v>
      </c>
      <c r="E41" s="3">
        <v>40.659999999999897</v>
      </c>
      <c r="F41" s="3">
        <f>(B41-B$161)/B$162</f>
        <v>-0.16678199853023876</v>
      </c>
      <c r="G41" s="3">
        <f>(C41-C$161)/C$162</f>
        <v>-0.80624332862748516</v>
      </c>
      <c r="H41" s="3">
        <f>(D41-D$161)/D$162</f>
        <v>-0.67440088844775758</v>
      </c>
      <c r="I41" s="3">
        <f>(E41-E$161)/E$162</f>
        <v>0.76565494931834011</v>
      </c>
      <c r="J41" s="2">
        <v>805648.4</v>
      </c>
      <c r="K41" s="1">
        <v>3537103</v>
      </c>
      <c r="L41" s="3">
        <f>O41+P41*$G41+Q41*$H41+R41*$I41</f>
        <v>-6.2452222051883249E-2</v>
      </c>
      <c r="M41" s="3">
        <f>L41*$B$162+$B$161</f>
        <v>10.592498084763159</v>
      </c>
      <c r="N41" s="1">
        <v>0</v>
      </c>
      <c r="O41" s="3">
        <v>-0.29754170299999999</v>
      </c>
      <c r="P41" s="3">
        <v>-0.36655891800000001</v>
      </c>
      <c r="Q41" s="3">
        <v>0.15384221300000001</v>
      </c>
      <c r="R41" s="3">
        <v>5.6559581999999997E-2</v>
      </c>
      <c r="S41" s="3">
        <f>V41+W41*$G41+X41*$H41+Y41*$I41</f>
        <v>-0.28095697372544925</v>
      </c>
      <c r="T41" s="3">
        <f>S41*$B$162+$B$161</f>
        <v>9.3515901556150851</v>
      </c>
      <c r="U41" s="1">
        <v>0</v>
      </c>
      <c r="V41" s="3">
        <v>-0.54906074100000002</v>
      </c>
      <c r="W41" s="3">
        <v>-0.34651111899999998</v>
      </c>
      <c r="X41" s="3">
        <v>0.18161730300000001</v>
      </c>
      <c r="Y41" s="3">
        <v>0.14525389</v>
      </c>
      <c r="Z41" s="3">
        <f>AC41+AD41*$G41+AE41*$H41+AF41*$I41</f>
        <v>-0.24743100685603767</v>
      </c>
      <c r="AA41" s="3">
        <f>Z41*$B$162+$B$161</f>
        <v>9.5419871048894898</v>
      </c>
      <c r="AB41" s="1">
        <v>1</v>
      </c>
      <c r="AC41" s="3">
        <v>-0.27574183299999999</v>
      </c>
      <c r="AD41" s="3">
        <v>-0.23985341199999999</v>
      </c>
      <c r="AE41" s="3">
        <v>0.21363271</v>
      </c>
      <c r="AF41" s="3">
        <v>-2.7421357E-2</v>
      </c>
      <c r="AG41" s="3">
        <v>-0.20646268200000001</v>
      </c>
      <c r="AH41" s="3">
        <v>-0.34199969400000002</v>
      </c>
      <c r="AI41" s="3">
        <v>0.227671015</v>
      </c>
      <c r="AJ41" s="3">
        <v>4.8746402000000001E-2</v>
      </c>
      <c r="AK41" s="3">
        <f>AN41+AO41*$G41+AP41*$H41+AQ41*$I41</f>
        <v>0.1056113591780284</v>
      </c>
      <c r="AL41" s="3">
        <f>AK41*$B$162+$B$161</f>
        <v>11.546946118281364</v>
      </c>
      <c r="AM41" s="1">
        <v>0</v>
      </c>
      <c r="AN41" s="3">
        <v>-0.25974846699999998</v>
      </c>
      <c r="AO41" s="3">
        <v>-0.46703683299999998</v>
      </c>
      <c r="AP41" s="3">
        <v>9.7003433E-2</v>
      </c>
      <c r="AQ41" s="3">
        <v>7.0833077999999994E-2</v>
      </c>
    </row>
    <row r="42" spans="1:43" x14ac:dyDescent="0.3">
      <c r="A42" s="1">
        <v>13083</v>
      </c>
      <c r="B42" s="3">
        <v>8</v>
      </c>
      <c r="C42" s="3">
        <v>96.5</v>
      </c>
      <c r="D42" s="3">
        <v>0.75</v>
      </c>
      <c r="E42" s="3">
        <v>0.35</v>
      </c>
      <c r="F42" s="3">
        <f>(B42-B$161)/B$162</f>
        <v>-0.5189511587733795</v>
      </c>
      <c r="G42" s="3">
        <f>(C42-C$161)/C$162</f>
        <v>0.97431351601881644</v>
      </c>
      <c r="H42" s="3">
        <f>(D42-D$161)/D$162</f>
        <v>-0.30925988528137793</v>
      </c>
      <c r="I42" s="3">
        <f>(E42-E$161)/E$162</f>
        <v>-1.5606992537481446</v>
      </c>
      <c r="J42" s="2">
        <v>635964.30000000005</v>
      </c>
      <c r="K42" s="1">
        <v>3854592</v>
      </c>
      <c r="L42" s="3">
        <f>O42+P42*$G42+Q42*$H42+R42*$I42</f>
        <v>-0.79053473378815331</v>
      </c>
      <c r="M42" s="3">
        <f>L42*$B$162+$B$161</f>
        <v>6.4576527096962719</v>
      </c>
      <c r="N42" s="1">
        <v>0</v>
      </c>
      <c r="O42" s="3">
        <v>-0.29754170299999999</v>
      </c>
      <c r="P42" s="3">
        <v>-0.36655891800000001</v>
      </c>
      <c r="Q42" s="3">
        <v>0.15384221300000001</v>
      </c>
      <c r="R42" s="3">
        <v>5.6559581999999997E-2</v>
      </c>
      <c r="S42" s="3">
        <f>V42+W42*$G42+X42*$H42+Y42*$I42</f>
        <v>-0.42013632989368599</v>
      </c>
      <c r="T42" s="3">
        <f>S42*$B$162+$B$161</f>
        <v>8.5611782065838522</v>
      </c>
      <c r="U42" s="1">
        <v>1</v>
      </c>
      <c r="V42" s="3">
        <v>-0.18342203200000001</v>
      </c>
      <c r="W42" s="3">
        <v>-0.17380490200000001</v>
      </c>
      <c r="X42" s="3">
        <v>0.64175570999999998</v>
      </c>
      <c r="Y42" s="3">
        <v>-8.3997902999999999E-2</v>
      </c>
      <c r="Z42" s="3">
        <f>AC42+AD42*$G42+AE42*$H42+AF42*$I42</f>
        <v>-0.53270579015511821</v>
      </c>
      <c r="AA42" s="3">
        <f>Z42*$B$162+$B$161</f>
        <v>7.9218862243801116</v>
      </c>
      <c r="AB42" s="1">
        <v>1</v>
      </c>
      <c r="AC42" s="3">
        <v>-0.27574183299999999</v>
      </c>
      <c r="AD42" s="3">
        <v>-0.23985341199999999</v>
      </c>
      <c r="AE42" s="3">
        <v>0.21363271</v>
      </c>
      <c r="AF42" s="3">
        <v>-2.7421357E-2</v>
      </c>
      <c r="AG42" s="3">
        <v>0.112414286</v>
      </c>
      <c r="AH42" s="3">
        <v>-0.25920745099999998</v>
      </c>
      <c r="AI42" s="3">
        <v>0.720707035</v>
      </c>
      <c r="AJ42" s="3">
        <v>-3.2720045000000003E-2</v>
      </c>
      <c r="AK42" s="3">
        <f>AN42+AO42*$G42+AP42*$H42+AQ42*$I42</f>
        <v>-0.42399614394831842</v>
      </c>
      <c r="AL42" s="3">
        <f>AK42*$B$162+$B$161</f>
        <v>8.5392579790888181</v>
      </c>
      <c r="AM42" s="1">
        <v>2</v>
      </c>
      <c r="AN42" s="3">
        <v>7.5780177000000004E-2</v>
      </c>
      <c r="AO42" s="3">
        <v>-0.16857382100000001</v>
      </c>
      <c r="AP42" s="3">
        <v>0.83152748499999996</v>
      </c>
      <c r="AQ42" s="3">
        <v>5.0217537999999999E-2</v>
      </c>
    </row>
    <row r="43" spans="1:43" x14ac:dyDescent="0.3">
      <c r="A43" s="1">
        <v>13085</v>
      </c>
      <c r="B43" s="3">
        <v>8.6</v>
      </c>
      <c r="C43" s="3">
        <v>100</v>
      </c>
      <c r="D43" s="3">
        <v>0.59</v>
      </c>
      <c r="E43" s="3">
        <v>0.28999999999999998</v>
      </c>
      <c r="F43" s="3">
        <f>(B43-B$161)/B$162</f>
        <v>-0.41330041070043733</v>
      </c>
      <c r="G43" s="3">
        <f>(C43-C$161)/C$162</f>
        <v>1.1038758643818527</v>
      </c>
      <c r="H43" s="3">
        <f>(D43-D$161)/D$162</f>
        <v>-0.43908779751831295</v>
      </c>
      <c r="I43" s="3">
        <f>(E43-E$161)/E$162</f>
        <v>-1.5641619491632772</v>
      </c>
      <c r="J43" s="2">
        <v>764386.09999999905</v>
      </c>
      <c r="K43" s="1">
        <v>3812502</v>
      </c>
      <c r="L43" s="3">
        <f>O43+P43*$G43+Q43*$H43+R43*$I43</f>
        <v>-0.29481737922735046</v>
      </c>
      <c r="M43" s="3">
        <f>L43*$B$162+$B$161</f>
        <v>9.2728756793541205</v>
      </c>
      <c r="N43" s="1">
        <v>1</v>
      </c>
      <c r="O43" s="3">
        <v>0.152735132</v>
      </c>
      <c r="P43" s="3">
        <v>-0.40878743200000001</v>
      </c>
      <c r="Q43" s="3">
        <v>0.37351620499999999</v>
      </c>
      <c r="R43" s="3">
        <v>-0.107216824</v>
      </c>
      <c r="S43" s="3">
        <f>V43+W43*$G43+X43*$H43+Y43*$I43</f>
        <v>-0.52568184599564649</v>
      </c>
      <c r="T43" s="3">
        <f>S43*$B$162+$B$161</f>
        <v>7.9617758283114846</v>
      </c>
      <c r="U43" s="1">
        <v>1</v>
      </c>
      <c r="V43" s="3">
        <v>-0.18342203200000001</v>
      </c>
      <c r="W43" s="3">
        <v>-0.17380490200000001</v>
      </c>
      <c r="X43" s="3">
        <v>0.64175570999999998</v>
      </c>
      <c r="Y43" s="3">
        <v>-8.3997902999999999E-2</v>
      </c>
      <c r="Z43" s="3">
        <f>AC43+AD43*$G43+AE43*$H43+AF43*$I43</f>
        <v>-0.59142229839438309</v>
      </c>
      <c r="AA43" s="3">
        <f>Z43*$B$162+$B$161</f>
        <v>7.5884299489996856</v>
      </c>
      <c r="AB43" s="1">
        <v>1</v>
      </c>
      <c r="AC43" s="3">
        <v>-0.27574183299999999</v>
      </c>
      <c r="AD43" s="3">
        <v>-0.23985341199999999</v>
      </c>
      <c r="AE43" s="3">
        <v>0.21363271</v>
      </c>
      <c r="AF43" s="3">
        <v>-2.7421357E-2</v>
      </c>
      <c r="AG43" s="3">
        <v>0.142605171</v>
      </c>
      <c r="AH43" s="3">
        <v>-0.28251192200000003</v>
      </c>
      <c r="AI43" s="3">
        <v>0.72352235499999995</v>
      </c>
      <c r="AJ43" s="3">
        <v>-6.2462100999999999E-2</v>
      </c>
      <c r="AK43" s="3">
        <f>AN43+AO43*$G43+AP43*$H43+AQ43*$I43</f>
        <v>-0.20479712476889034</v>
      </c>
      <c r="AL43" s="3">
        <f>AK43*$B$162+$B$161</f>
        <v>9.7841087151844555</v>
      </c>
      <c r="AM43" s="1">
        <v>4</v>
      </c>
      <c r="AN43" s="3">
        <v>0.61558443699999998</v>
      </c>
      <c r="AO43" s="3">
        <v>-0.957700683</v>
      </c>
      <c r="AP43" s="3">
        <v>0.17952755200000001</v>
      </c>
      <c r="AQ43" s="3">
        <v>-0.20178822599999999</v>
      </c>
    </row>
    <row r="44" spans="1:43" x14ac:dyDescent="0.3">
      <c r="A44" s="1">
        <v>13087</v>
      </c>
      <c r="B44" s="3">
        <v>11.6999999999999</v>
      </c>
      <c r="C44" s="3">
        <v>58</v>
      </c>
      <c r="D44" s="3">
        <v>1.54</v>
      </c>
      <c r="E44" s="3">
        <v>39.469999999999899</v>
      </c>
      <c r="F44" s="3">
        <f>(B44-B$161)/B$162</f>
        <v>0.13256178767641322</v>
      </c>
      <c r="G44" s="3">
        <f>(C44-C$161)/C$162</f>
        <v>-0.45087231597458205</v>
      </c>
      <c r="H44" s="3">
        <f>(D44-D$161)/D$162</f>
        <v>0.33176543138848863</v>
      </c>
      <c r="I44" s="3">
        <f>(E44-E$161)/E$162</f>
        <v>0.69697815691821308</v>
      </c>
      <c r="J44" s="2">
        <v>732628.4</v>
      </c>
      <c r="K44" s="1">
        <v>3421800</v>
      </c>
      <c r="L44" s="3">
        <f>O44+P44*$G44+Q44*$H44+R44*$I44</f>
        <v>-4.1810113320073783E-2</v>
      </c>
      <c r="M44" s="3">
        <f>L44*$B$162+$B$161</f>
        <v>10.709726457159867</v>
      </c>
      <c r="N44" s="1">
        <v>0</v>
      </c>
      <c r="O44" s="3">
        <v>-0.29754170299999999</v>
      </c>
      <c r="P44" s="3">
        <v>-0.36655891800000001</v>
      </c>
      <c r="Q44" s="3">
        <v>0.15384221300000001</v>
      </c>
      <c r="R44" s="3">
        <v>5.6559581999999997E-2</v>
      </c>
      <c r="S44" s="3">
        <f>V44+W44*$G44+X44*$H44+Y44*$I44</f>
        <v>-0.23133533885071633</v>
      </c>
      <c r="T44" s="3">
        <f>S44*$B$162+$B$161</f>
        <v>9.6333958358198686</v>
      </c>
      <c r="U44" s="1">
        <v>0</v>
      </c>
      <c r="V44" s="3">
        <v>-0.54906074100000002</v>
      </c>
      <c r="W44" s="3">
        <v>-0.34651111899999998</v>
      </c>
      <c r="X44" s="3">
        <v>0.18161730300000001</v>
      </c>
      <c r="Y44" s="3">
        <v>0.14525389</v>
      </c>
      <c r="Z44" s="3">
        <f>AC44+AD44*$G44+AE44*$H44+AF44*$I44</f>
        <v>-0.11583470830736885</v>
      </c>
      <c r="AA44" s="3">
        <f>Z44*$B$162+$B$161</f>
        <v>10.289334194894836</v>
      </c>
      <c r="AB44" s="1">
        <v>1</v>
      </c>
      <c r="AC44" s="3">
        <v>-0.27574183299999999</v>
      </c>
      <c r="AD44" s="3">
        <v>-0.23985341199999999</v>
      </c>
      <c r="AE44" s="3">
        <v>0.21363271</v>
      </c>
      <c r="AF44" s="3">
        <v>-2.7421357E-2</v>
      </c>
      <c r="AG44" s="3">
        <v>-0.25735951499999998</v>
      </c>
      <c r="AH44" s="3">
        <v>-0.36970317699999999</v>
      </c>
      <c r="AI44" s="3">
        <v>0.132511623</v>
      </c>
      <c r="AJ44" s="3">
        <v>6.8674300999999993E-2</v>
      </c>
      <c r="AK44" s="3">
        <f>AN44+AO44*$G44+AP44*$H44+AQ44*$I44</f>
        <v>3.2377005488837478E-2</v>
      </c>
      <c r="AL44" s="3">
        <f>AK44*$B$162+$B$161</f>
        <v>11.131041706670596</v>
      </c>
      <c r="AM44" s="1">
        <v>0</v>
      </c>
      <c r="AN44" s="3">
        <v>-0.25974846699999998</v>
      </c>
      <c r="AO44" s="3">
        <v>-0.46703683299999998</v>
      </c>
      <c r="AP44" s="3">
        <v>9.7003433E-2</v>
      </c>
      <c r="AQ44" s="3">
        <v>7.0833077999999994E-2</v>
      </c>
    </row>
    <row r="45" spans="1:43" x14ac:dyDescent="0.3">
      <c r="A45" s="1">
        <v>13089</v>
      </c>
      <c r="B45" s="3">
        <v>32.700000000000003</v>
      </c>
      <c r="C45" s="3">
        <v>2.5</v>
      </c>
      <c r="D45" s="3">
        <v>6.69</v>
      </c>
      <c r="E45" s="3">
        <v>42.229999999999897</v>
      </c>
      <c r="F45" s="3">
        <f>(B45-B$161)/B$162</f>
        <v>3.8303379702294094</v>
      </c>
      <c r="G45" s="3">
        <f>(C45-C$161)/C$162</f>
        <v>-2.5053609828741563</v>
      </c>
      <c r="H45" s="3">
        <f>(D45-D$161)/D$162</f>
        <v>4.510601356514834</v>
      </c>
      <c r="I45" s="3">
        <f>(E45-E$161)/E$162</f>
        <v>0.85626214601430606</v>
      </c>
      <c r="J45" s="2">
        <v>759231.9</v>
      </c>
      <c r="K45" s="1">
        <v>3735253</v>
      </c>
      <c r="L45" s="3">
        <f>O45+P45*$G45+Q45*$H45+R45*$I45</f>
        <v>4.0140090130602726</v>
      </c>
      <c r="M45" s="3">
        <f>L45*$B$162+$B$161</f>
        <v>33.743084196833451</v>
      </c>
      <c r="N45" s="1">
        <v>2</v>
      </c>
      <c r="O45" s="3">
        <v>0.94371922399999997</v>
      </c>
      <c r="P45" s="3">
        <v>-0.79405312100000003</v>
      </c>
      <c r="Q45" s="3">
        <v>0.26666736400000002</v>
      </c>
      <c r="R45" s="3">
        <v>-0.14239808800000001</v>
      </c>
      <c r="S45" s="3">
        <f>V45+W45*$G45+X45*$H45+Y45*$I45</f>
        <v>3.0748019394967252</v>
      </c>
      <c r="T45" s="3">
        <f>S45*$B$162+$B$161</f>
        <v>28.40924364750704</v>
      </c>
      <c r="U45" s="1">
        <v>1</v>
      </c>
      <c r="V45" s="3">
        <v>-0.18342203200000001</v>
      </c>
      <c r="W45" s="3">
        <v>-0.17380490200000001</v>
      </c>
      <c r="X45" s="3">
        <v>0.64175570999999998</v>
      </c>
      <c r="Y45" s="3">
        <v>-8.3997902999999999E-2</v>
      </c>
      <c r="Z45" s="3">
        <f>AC45+AD45*$G45+AE45*$H45+AF45*$I45</f>
        <v>3.6311087673844589</v>
      </c>
      <c r="AA45" s="3">
        <f>Z45*$B$162+$B$161</f>
        <v>31.568559627950386</v>
      </c>
      <c r="AB45" s="1">
        <v>0</v>
      </c>
      <c r="AC45" s="3">
        <v>0.54283203499999999</v>
      </c>
      <c r="AD45" s="3">
        <v>-0.49819849599999999</v>
      </c>
      <c r="AE45" s="3">
        <v>0.48327922000000001</v>
      </c>
      <c r="AF45" s="3">
        <v>-0.39680633799999998</v>
      </c>
      <c r="AG45" s="3">
        <v>0.152367961</v>
      </c>
      <c r="AH45" s="3">
        <v>-0.28070463499999998</v>
      </c>
      <c r="AI45" s="3">
        <v>0.70439723499999995</v>
      </c>
      <c r="AJ45" s="3">
        <v>-8.7343710000000005E-2</v>
      </c>
      <c r="AK45" s="3">
        <f>AN45+AO45*$G45+AP45*$H45+AQ45*$I45</f>
        <v>3.8303379713374928</v>
      </c>
      <c r="AL45" s="3">
        <f>AK45*$B$162+$B$161</f>
        <v>32.70000000629291</v>
      </c>
      <c r="AM45" s="1">
        <v>1</v>
      </c>
      <c r="AN45" s="3">
        <v>5.9513438949999999</v>
      </c>
      <c r="AO45" s="3">
        <v>2.6258562620000001</v>
      </c>
      <c r="AP45" s="3">
        <v>0.60460221000000003</v>
      </c>
      <c r="AQ45" s="3">
        <v>2.0211010859999998</v>
      </c>
    </row>
    <row r="46" spans="1:43" x14ac:dyDescent="0.3">
      <c r="A46" s="1">
        <v>13091</v>
      </c>
      <c r="B46" s="3">
        <v>8</v>
      </c>
      <c r="C46" s="3">
        <v>70.7</v>
      </c>
      <c r="D46" s="3">
        <v>0.34</v>
      </c>
      <c r="E46" s="3">
        <v>27.64</v>
      </c>
      <c r="F46" s="3">
        <f>(B46-B$161)/B$162</f>
        <v>-0.5189511587733795</v>
      </c>
      <c r="G46" s="3">
        <f>(C46-C$161)/C$162</f>
        <v>1.9253919514149495E-2</v>
      </c>
      <c r="H46" s="3">
        <f>(D46-D$161)/D$162</f>
        <v>-0.64194391038852383</v>
      </c>
      <c r="I46" s="3">
        <f>(E46-E$161)/E$162</f>
        <v>1.4250044234602348E-2</v>
      </c>
      <c r="J46" s="2">
        <v>860451.4</v>
      </c>
      <c r="K46" s="1">
        <v>3569933</v>
      </c>
      <c r="L46" s="3">
        <f>O46+P46*$G46+Q46*$H46+R46*$I46</f>
        <v>-0.40255149415501934</v>
      </c>
      <c r="M46" s="3">
        <f>L46*$B$162+$B$161</f>
        <v>8.6610440535905919</v>
      </c>
      <c r="N46" s="1">
        <v>0</v>
      </c>
      <c r="O46" s="3">
        <v>-0.29754170299999999</v>
      </c>
      <c r="P46" s="3">
        <v>-0.36655891800000001</v>
      </c>
      <c r="Q46" s="3">
        <v>0.15384221300000001</v>
      </c>
      <c r="R46" s="3">
        <v>5.6559581999999997E-2</v>
      </c>
      <c r="S46" s="3">
        <f>V46+W46*$G46+X46*$H46+Y46*$I46</f>
        <v>-0.67025068552027323</v>
      </c>
      <c r="T46" s="3">
        <f>S46*$B$162+$B$161</f>
        <v>7.1407565236976733</v>
      </c>
      <c r="U46" s="1">
        <v>0</v>
      </c>
      <c r="V46" s="3">
        <v>-0.54906074100000002</v>
      </c>
      <c r="W46" s="3">
        <v>-0.34651111899999998</v>
      </c>
      <c r="X46" s="3">
        <v>0.18161730300000001</v>
      </c>
      <c r="Y46" s="3">
        <v>0.14525389</v>
      </c>
      <c r="Z46" s="3">
        <f>AC46+AD46*$G46+AE46*$H46+AF46*$I46</f>
        <v>-0.41789092408436246</v>
      </c>
      <c r="AA46" s="3">
        <f>Z46*$B$162+$B$161</f>
        <v>8.5739300659901296</v>
      </c>
      <c r="AB46" s="1">
        <v>1</v>
      </c>
      <c r="AC46" s="3">
        <v>-0.27574183299999999</v>
      </c>
      <c r="AD46" s="3">
        <v>-0.23985341199999999</v>
      </c>
      <c r="AE46" s="3">
        <v>0.21363271</v>
      </c>
      <c r="AF46" s="3">
        <v>-2.7421357E-2</v>
      </c>
      <c r="AG46" s="3">
        <v>-0.20069901100000001</v>
      </c>
      <c r="AH46" s="3">
        <v>-0.34583090500000002</v>
      </c>
      <c r="AI46" s="3">
        <v>0.30426941499999999</v>
      </c>
      <c r="AJ46" s="3">
        <v>5.5908389000000003E-2</v>
      </c>
      <c r="AK46" s="3">
        <f>AN46+AO46*$G46+AP46*$H46+AQ46*$I46</f>
        <v>-0.33000214519908339</v>
      </c>
      <c r="AL46" s="3">
        <f>AK46*$B$162+$B$161</f>
        <v>9.0730582623637126</v>
      </c>
      <c r="AM46" s="1">
        <v>0</v>
      </c>
      <c r="AN46" s="3">
        <v>-0.25974846699999998</v>
      </c>
      <c r="AO46" s="3">
        <v>-0.46703683299999998</v>
      </c>
      <c r="AP46" s="3">
        <v>9.7003433E-2</v>
      </c>
      <c r="AQ46" s="3">
        <v>7.0833077999999994E-2</v>
      </c>
    </row>
    <row r="47" spans="1:43" x14ac:dyDescent="0.3">
      <c r="A47" s="1">
        <v>13093</v>
      </c>
      <c r="B47" s="3">
        <v>9.5</v>
      </c>
      <c r="C47" s="3">
        <v>72.599999999999895</v>
      </c>
      <c r="D47" s="3">
        <v>0.5</v>
      </c>
      <c r="E47" s="3">
        <v>48.979999999999897</v>
      </c>
      <c r="F47" s="3">
        <f>(B47-B$161)/B$162</f>
        <v>-0.25482428859102396</v>
      </c>
      <c r="G47" s="3">
        <f>(C47-C$161)/C$162</f>
        <v>8.9587765768365163E-2</v>
      </c>
      <c r="H47" s="3">
        <f>(D47-D$161)/D$162</f>
        <v>-0.51211599815158881</v>
      </c>
      <c r="I47" s="3">
        <f>(E47-E$161)/E$162</f>
        <v>1.2458153802167078</v>
      </c>
      <c r="J47" s="2">
        <v>800031.299999999</v>
      </c>
      <c r="K47" s="1">
        <v>3564188</v>
      </c>
      <c r="L47" s="3">
        <f>O47+P47*$G47+Q47*$H47+R47*$I47</f>
        <v>-0.33870315880020563</v>
      </c>
      <c r="M47" s="3">
        <f>L47*$B$162+$B$161</f>
        <v>9.0236444318334357</v>
      </c>
      <c r="N47" s="1">
        <v>0</v>
      </c>
      <c r="O47" s="3">
        <v>-0.29754170299999999</v>
      </c>
      <c r="P47" s="3">
        <v>-0.36655891800000001</v>
      </c>
      <c r="Q47" s="3">
        <v>0.15384221300000001</v>
      </c>
      <c r="R47" s="3">
        <v>5.6559581999999997E-2</v>
      </c>
      <c r="S47" s="3">
        <f>V47+W47*$G47+X47*$H47+Y47*$I47</f>
        <v>-0.10350390064566989</v>
      </c>
      <c r="T47" s="3">
        <f>S47*$B$162+$B$161</f>
        <v>10.359361948904787</v>
      </c>
      <c r="U47" s="1">
        <v>2</v>
      </c>
      <c r="V47" s="3">
        <v>-0.13655372900000001</v>
      </c>
      <c r="W47" s="3">
        <v>-0.53975352499999996</v>
      </c>
      <c r="X47" s="3">
        <v>6.0196410000000001E-3</v>
      </c>
      <c r="Y47" s="3">
        <v>6.7817348E-2</v>
      </c>
      <c r="Z47" s="3">
        <f>AC47+AD47*$G47+AE47*$H47+AF47*$I47</f>
        <v>-0.24364291414989053</v>
      </c>
      <c r="AA47" s="3">
        <f>Z47*$B$162+$B$161</f>
        <v>9.5635000204641063</v>
      </c>
      <c r="AB47" s="1">
        <v>0</v>
      </c>
      <c r="AC47" s="3">
        <v>0.54283203499999999</v>
      </c>
      <c r="AD47" s="3">
        <v>-0.49819849599999999</v>
      </c>
      <c r="AE47" s="3">
        <v>0.48327922000000001</v>
      </c>
      <c r="AF47" s="3">
        <v>-0.39680633799999998</v>
      </c>
      <c r="AG47" s="3">
        <v>-0.121701513</v>
      </c>
      <c r="AH47" s="3">
        <v>-0.32401037500000002</v>
      </c>
      <c r="AI47" s="3">
        <v>0.29394235099999999</v>
      </c>
      <c r="AJ47" s="3">
        <v>-1.512167E-3</v>
      </c>
      <c r="AK47" s="3">
        <f>AN47+AO47*$G47+AP47*$H47+AQ47*$I47</f>
        <v>-0.26302132531443911</v>
      </c>
      <c r="AL47" s="3">
        <f>AK47*$B$162+$B$161</f>
        <v>9.4534482990063307</v>
      </c>
      <c r="AM47" s="1">
        <v>0</v>
      </c>
      <c r="AN47" s="3">
        <v>-0.25974846699999998</v>
      </c>
      <c r="AO47" s="3">
        <v>-0.46703683299999998</v>
      </c>
      <c r="AP47" s="3">
        <v>9.7003433E-2</v>
      </c>
      <c r="AQ47" s="3">
        <v>7.0833077999999994E-2</v>
      </c>
    </row>
    <row r="48" spans="1:43" x14ac:dyDescent="0.3">
      <c r="A48" s="1">
        <v>13095</v>
      </c>
      <c r="B48" s="3">
        <v>17</v>
      </c>
      <c r="C48" s="3">
        <v>10</v>
      </c>
      <c r="D48" s="3">
        <v>0.94</v>
      </c>
      <c r="E48" s="3">
        <v>50.149999999999899</v>
      </c>
      <c r="F48" s="3">
        <f>(B48-B$161)/B$162</f>
        <v>1.0658100623207538</v>
      </c>
      <c r="G48" s="3">
        <f>(C48-C$161)/C$162</f>
        <v>-2.2277273792390786</v>
      </c>
      <c r="H48" s="3">
        <f>(D48-D$161)/D$162</f>
        <v>-0.15508923950001766</v>
      </c>
      <c r="I48" s="3">
        <f>(E48-E$161)/E$162</f>
        <v>1.3133379408117909</v>
      </c>
      <c r="J48" s="2">
        <v>764116.9</v>
      </c>
      <c r="K48" s="1">
        <v>3494367</v>
      </c>
      <c r="L48" s="3">
        <f>O48+P48*$G48+Q48*$H48+R48*$I48</f>
        <v>0.56947420787273828</v>
      </c>
      <c r="M48" s="3">
        <f>L48*$B$162+$B$161</f>
        <v>14.181264514443338</v>
      </c>
      <c r="N48" s="1">
        <v>0</v>
      </c>
      <c r="O48" s="3">
        <v>-0.29754170299999999</v>
      </c>
      <c r="P48" s="3">
        <v>-0.36655891800000001</v>
      </c>
      <c r="Q48" s="3">
        <v>0.15384221300000001</v>
      </c>
      <c r="R48" s="3">
        <v>5.6559581999999997E-2</v>
      </c>
      <c r="S48" s="3">
        <f>V48+W48*$G48+X48*$H48+Y48*$I48</f>
        <v>1.1540034913121879</v>
      </c>
      <c r="T48" s="3">
        <f>S48*$B$162+$B$161</f>
        <v>17.50085833143677</v>
      </c>
      <c r="U48" s="1">
        <v>2</v>
      </c>
      <c r="V48" s="3">
        <v>-0.13655372900000001</v>
      </c>
      <c r="W48" s="3">
        <v>-0.53975352499999996</v>
      </c>
      <c r="X48" s="3">
        <v>6.0196410000000001E-3</v>
      </c>
      <c r="Y48" s="3">
        <v>6.7817348E-2</v>
      </c>
      <c r="Z48" s="3">
        <f>AC48+AD48*$G48+AE48*$H48+AF48*$I48</f>
        <v>1.0565902392889814</v>
      </c>
      <c r="AA48" s="3">
        <f>Z48*$B$162+$B$161</f>
        <v>16.947639804545027</v>
      </c>
      <c r="AB48" s="1">
        <v>0</v>
      </c>
      <c r="AC48" s="3">
        <v>0.54283203499999999</v>
      </c>
      <c r="AD48" s="3">
        <v>-0.49819849599999999</v>
      </c>
      <c r="AE48" s="3">
        <v>0.48327922000000001</v>
      </c>
      <c r="AF48" s="3">
        <v>-0.39680633799999998</v>
      </c>
      <c r="AG48" s="3">
        <v>-0.225738038</v>
      </c>
      <c r="AH48" s="3">
        <v>-0.35580152900000001</v>
      </c>
      <c r="AI48" s="3">
        <v>0.16816679700000001</v>
      </c>
      <c r="AJ48" s="3">
        <v>5.0759628000000001E-2</v>
      </c>
      <c r="AK48" s="3">
        <f>AN48+AO48*$G48+AP48*$H48+AQ48*$I48</f>
        <v>0.85866585313622923</v>
      </c>
      <c r="AL48" s="3">
        <f>AK48*$B$162+$B$161</f>
        <v>15.823609602603986</v>
      </c>
      <c r="AM48" s="1">
        <v>0</v>
      </c>
      <c r="AN48" s="3">
        <v>-0.25974846699999998</v>
      </c>
      <c r="AO48" s="3">
        <v>-0.46703683299999998</v>
      </c>
      <c r="AP48" s="3">
        <v>9.7003433E-2</v>
      </c>
      <c r="AQ48" s="3">
        <v>7.0833077999999994E-2</v>
      </c>
    </row>
    <row r="49" spans="1:43" x14ac:dyDescent="0.3">
      <c r="A49" s="1">
        <v>13097</v>
      </c>
      <c r="B49" s="3">
        <v>12</v>
      </c>
      <c r="C49" s="3">
        <v>26.6999999999999</v>
      </c>
      <c r="D49" s="3">
        <v>1.34</v>
      </c>
      <c r="E49" s="3">
        <v>7.63</v>
      </c>
      <c r="F49" s="3">
        <f>(B49-B$161)/B$162</f>
        <v>0.18538716171290198</v>
      </c>
      <c r="G49" s="3">
        <f>(C49-C$161)/C$162</f>
        <v>-1.6095298884783096</v>
      </c>
      <c r="H49" s="3">
        <f>(D49-D$161)/D$162</f>
        <v>0.16948054109231994</v>
      </c>
      <c r="I49" s="3">
        <f>(E49-E$161)/E$162</f>
        <v>-1.1405588767120729</v>
      </c>
      <c r="J49" s="2">
        <v>707288.7</v>
      </c>
      <c r="K49" s="1">
        <v>3731361</v>
      </c>
      <c r="L49" s="3">
        <f>O49+P49*$G49+Q49*$H49+R49*$I49</f>
        <v>0.25400955959812543</v>
      </c>
      <c r="M49" s="3">
        <f>L49*$B$162+$B$161</f>
        <v>12.38971270418935</v>
      </c>
      <c r="N49" s="1">
        <v>0</v>
      </c>
      <c r="O49" s="3">
        <v>-0.29754170299999999</v>
      </c>
      <c r="P49" s="3">
        <v>-0.36655891800000001</v>
      </c>
      <c r="Q49" s="3">
        <v>0.15384221300000001</v>
      </c>
      <c r="R49" s="3">
        <v>5.6559581999999997E-2</v>
      </c>
      <c r="S49" s="3">
        <f>V49+W49*$G49+X49*$H49+Y49*$I49</f>
        <v>0.30089181140477916</v>
      </c>
      <c r="T49" s="3">
        <f>S49*$B$162+$B$161</f>
        <v>12.655961184177125</v>
      </c>
      <c r="U49" s="1">
        <v>1</v>
      </c>
      <c r="V49" s="3">
        <v>-0.18342203200000001</v>
      </c>
      <c r="W49" s="3">
        <v>-0.17380490200000001</v>
      </c>
      <c r="X49" s="3">
        <v>0.64175570999999998</v>
      </c>
      <c r="Y49" s="3">
        <v>-8.3997902999999999E-2</v>
      </c>
      <c r="Z49" s="3">
        <f>AC49+AD49*$G49+AE49*$H49+AF49*$I49</f>
        <v>0.17779166189116144</v>
      </c>
      <c r="AA49" s="3">
        <f>Z49*$B$162+$B$161</f>
        <v>11.956864480600762</v>
      </c>
      <c r="AB49" s="1">
        <v>1</v>
      </c>
      <c r="AC49" s="3">
        <v>-0.27574183299999999</v>
      </c>
      <c r="AD49" s="3">
        <v>-0.23985341199999999</v>
      </c>
      <c r="AE49" s="3">
        <v>0.21363271</v>
      </c>
      <c r="AF49" s="3">
        <v>-2.7421357E-2</v>
      </c>
      <c r="AG49" s="3">
        <v>0.12608445800000001</v>
      </c>
      <c r="AH49" s="3">
        <v>-0.26657043000000002</v>
      </c>
      <c r="AI49" s="3">
        <v>0.69412432999999996</v>
      </c>
      <c r="AJ49" s="3">
        <v>-6.5325281999999998E-2</v>
      </c>
      <c r="AK49" s="3">
        <f>AN49+AO49*$G49+AP49*$H49+AQ49*$I49</f>
        <v>0.43075644967290266</v>
      </c>
      <c r="AL49" s="3">
        <f>AK49*$B$162+$B$161</f>
        <v>13.393474021351532</v>
      </c>
      <c r="AM49" s="1">
        <v>2</v>
      </c>
      <c r="AN49" s="3">
        <v>7.5780177000000004E-2</v>
      </c>
      <c r="AO49" s="3">
        <v>-0.16857382100000001</v>
      </c>
      <c r="AP49" s="3">
        <v>0.83152748499999996</v>
      </c>
      <c r="AQ49" s="3">
        <v>5.0217537999999999E-2</v>
      </c>
    </row>
    <row r="50" spans="1:43" x14ac:dyDescent="0.3">
      <c r="A50" s="1">
        <v>13099</v>
      </c>
      <c r="B50" s="3">
        <v>9.4</v>
      </c>
      <c r="C50" s="3">
        <v>52.799999999999898</v>
      </c>
      <c r="D50" s="3">
        <v>0.24</v>
      </c>
      <c r="E50" s="3">
        <v>44.09</v>
      </c>
      <c r="F50" s="3">
        <f>(B50-B$161)/B$162</f>
        <v>-0.2724327466031809</v>
      </c>
      <c r="G50" s="3">
        <f>(C50-C$161)/C$162</f>
        <v>-0.64336494782823961</v>
      </c>
      <c r="H50" s="3">
        <f>(D50-D$161)/D$162</f>
        <v>-0.72308635553660827</v>
      </c>
      <c r="I50" s="3">
        <f>(E50-E$161)/E$162</f>
        <v>0.96360570388341849</v>
      </c>
      <c r="J50" s="2">
        <v>703495.09999999905</v>
      </c>
      <c r="K50" s="1">
        <v>3467152</v>
      </c>
      <c r="L50" s="3">
        <f>O50+P50*$G50+Q50*$H50+R50*$I50</f>
        <v>-0.11845061314634875</v>
      </c>
      <c r="M50" s="3">
        <f>L50*$B$162+$B$161</f>
        <v>10.274478238529015</v>
      </c>
      <c r="N50" s="1">
        <v>0</v>
      </c>
      <c r="O50" s="3">
        <v>-0.29754170299999999</v>
      </c>
      <c r="P50" s="3">
        <v>-0.36655891800000001</v>
      </c>
      <c r="Q50" s="3">
        <v>0.15384221300000001</v>
      </c>
      <c r="R50" s="3">
        <v>5.6559581999999997E-2</v>
      </c>
      <c r="S50" s="3">
        <f>V50+W50*$G50+X50*$H50+Y50*$I50</f>
        <v>-0.31748514981606341</v>
      </c>
      <c r="T50" s="3">
        <f>S50*$B$162+$B$161</f>
        <v>9.1441433930115981</v>
      </c>
      <c r="U50" s="1">
        <v>0</v>
      </c>
      <c r="V50" s="3">
        <v>-0.54906074100000002</v>
      </c>
      <c r="W50" s="3">
        <v>-0.34651111899999998</v>
      </c>
      <c r="X50" s="3">
        <v>0.18161730300000001</v>
      </c>
      <c r="Y50" s="3">
        <v>0.14525389</v>
      </c>
      <c r="Z50" s="3">
        <f>AC50+AD50*$G50+AE50*$H50+AF50*$I50</f>
        <v>-0.30232682881292738</v>
      </c>
      <c r="AA50" s="3">
        <f>Z50*$B$162+$B$161</f>
        <v>9.2302288469035325</v>
      </c>
      <c r="AB50" s="1">
        <v>1</v>
      </c>
      <c r="AC50" s="3">
        <v>-0.27574183299999999</v>
      </c>
      <c r="AD50" s="3">
        <v>-0.23985341199999999</v>
      </c>
      <c r="AE50" s="3">
        <v>0.21363271</v>
      </c>
      <c r="AF50" s="3">
        <v>-2.7421357E-2</v>
      </c>
      <c r="AG50" s="3">
        <v>-0.19058170399999999</v>
      </c>
      <c r="AH50" s="3">
        <v>-0.36720426</v>
      </c>
      <c r="AI50" s="3">
        <v>0.160063598</v>
      </c>
      <c r="AJ50" s="3">
        <v>2.2923393E-2</v>
      </c>
      <c r="AK50" s="3">
        <f>AN50+AO50*$G50+AP50*$H50+AQ50*$I50</f>
        <v>3.8839959838820798E-2</v>
      </c>
      <c r="AL50" s="3">
        <f>AK50*$B$162+$B$161</f>
        <v>11.167745399552285</v>
      </c>
      <c r="AM50" s="1">
        <v>0</v>
      </c>
      <c r="AN50" s="3">
        <v>-0.25974846699999998</v>
      </c>
      <c r="AO50" s="3">
        <v>-0.46703683299999998</v>
      </c>
      <c r="AP50" s="3">
        <v>9.7003433E-2</v>
      </c>
      <c r="AQ50" s="3">
        <v>7.0833077999999994E-2</v>
      </c>
    </row>
    <row r="51" spans="1:43" x14ac:dyDescent="0.3">
      <c r="A51" s="1">
        <v>13101</v>
      </c>
      <c r="B51" s="3">
        <v>4.7</v>
      </c>
      <c r="C51" s="3">
        <v>100</v>
      </c>
      <c r="D51" s="3">
        <v>1.63</v>
      </c>
      <c r="E51" s="3">
        <v>11.48</v>
      </c>
      <c r="F51" s="3">
        <f>(B51-B$161)/B$162</f>
        <v>-1.1000302731745617</v>
      </c>
      <c r="G51" s="3">
        <f>(C51-C$161)/C$162</f>
        <v>1.1038758643818527</v>
      </c>
      <c r="H51" s="3">
        <f>(D51-D$161)/D$162</f>
        <v>0.40479363202176449</v>
      </c>
      <c r="I51" s="3">
        <f>(E51-E$161)/E$162</f>
        <v>-0.91836925424107341</v>
      </c>
      <c r="J51" s="2">
        <v>896654</v>
      </c>
      <c r="K51" s="1">
        <v>3401148</v>
      </c>
      <c r="L51" s="3">
        <f>O51+P51*$G51+Q51*$H51+R51*$I51</f>
        <v>-0.69184547843711752</v>
      </c>
      <c r="M51" s="3">
        <f>L51*$B$162+$B$161</f>
        <v>7.0181177730362858</v>
      </c>
      <c r="N51" s="1">
        <v>0</v>
      </c>
      <c r="O51" s="3">
        <v>-0.29754170299999999</v>
      </c>
      <c r="P51" s="3">
        <v>-0.36655891800000001</v>
      </c>
      <c r="Q51" s="3">
        <v>0.15384221300000001</v>
      </c>
      <c r="R51" s="3">
        <v>5.6559581999999997E-2</v>
      </c>
      <c r="S51" s="3">
        <f>V51+W51*$G51+X51*$H51+Y51*$I51</f>
        <v>-0.79221927292603722</v>
      </c>
      <c r="T51" s="3">
        <f>S51*$B$162+$B$161</f>
        <v>6.4480860620277429</v>
      </c>
      <c r="U51" s="1">
        <v>2</v>
      </c>
      <c r="V51" s="3">
        <v>-0.13655372900000001</v>
      </c>
      <c r="W51" s="3">
        <v>-0.53975352499999996</v>
      </c>
      <c r="X51" s="3">
        <v>6.0196410000000001E-3</v>
      </c>
      <c r="Y51" s="3">
        <v>6.7817348E-2</v>
      </c>
      <c r="Z51" s="3">
        <f>AC51+AD51*$G51+AE51*$H51+AF51*$I51</f>
        <v>-0.4288501337185161</v>
      </c>
      <c r="AA51" s="3">
        <f>Z51*$B$162+$B$161</f>
        <v>8.5116917392349567</v>
      </c>
      <c r="AB51" s="1">
        <v>1</v>
      </c>
      <c r="AC51" s="3">
        <v>-0.27574183299999999</v>
      </c>
      <c r="AD51" s="3">
        <v>-0.23985341199999999</v>
      </c>
      <c r="AE51" s="3">
        <v>0.21363271</v>
      </c>
      <c r="AF51" s="3">
        <v>-2.7421357E-2</v>
      </c>
      <c r="AG51" s="3">
        <v>-0.28672232600000003</v>
      </c>
      <c r="AH51" s="3">
        <v>-0.42376982299999999</v>
      </c>
      <c r="AI51" s="3">
        <v>0.12913596099999999</v>
      </c>
      <c r="AJ51" s="3">
        <v>9.6277302999999995E-2</v>
      </c>
      <c r="AK51" s="3">
        <f>AN51+AO51*$G51+AP51*$H51+AQ51*$I51</f>
        <v>-0.80108370378184779</v>
      </c>
      <c r="AL51" s="3">
        <f>AK51*$B$162+$B$161</f>
        <v>6.3977441703658462</v>
      </c>
      <c r="AM51" s="1">
        <v>0</v>
      </c>
      <c r="AN51" s="3">
        <v>-0.25974846699999998</v>
      </c>
      <c r="AO51" s="3">
        <v>-0.46703683299999998</v>
      </c>
      <c r="AP51" s="3">
        <v>9.7003433E-2</v>
      </c>
      <c r="AQ51" s="3">
        <v>7.0833077999999994E-2</v>
      </c>
    </row>
    <row r="52" spans="1:43" x14ac:dyDescent="0.3">
      <c r="A52" s="1">
        <v>13103</v>
      </c>
      <c r="B52" s="3">
        <v>7.6</v>
      </c>
      <c r="C52" s="3">
        <v>89.099999999999895</v>
      </c>
      <c r="D52" s="3">
        <v>0.69</v>
      </c>
      <c r="E52" s="3">
        <v>14.0299999999999</v>
      </c>
      <c r="F52" s="3">
        <f>(B52-B$161)/B$162</f>
        <v>-0.58938499082200768</v>
      </c>
      <c r="G52" s="3">
        <f>(C52-C$161)/C$162</f>
        <v>0.70038169376553594</v>
      </c>
      <c r="H52" s="3">
        <f>(D52-D$161)/D$162</f>
        <v>-0.35794535237022862</v>
      </c>
      <c r="I52" s="3">
        <f>(E52-E$161)/E$162</f>
        <v>-0.77120469909794964</v>
      </c>
      <c r="J52" s="2">
        <v>1031899</v>
      </c>
      <c r="K52" s="1">
        <v>3596117</v>
      </c>
      <c r="L52" s="3">
        <f>O52+P52*$G52+Q52*$H52+R52*$I52</f>
        <v>-0.18458437313778164</v>
      </c>
      <c r="M52" s="3">
        <f>L52*$B$162+$B$161</f>
        <v>9.8988987303984715</v>
      </c>
      <c r="N52" s="1">
        <v>1</v>
      </c>
      <c r="O52" s="3">
        <v>0.152735132</v>
      </c>
      <c r="P52" s="3">
        <v>-0.40878743200000001</v>
      </c>
      <c r="Q52" s="3">
        <v>0.37351620499999999</v>
      </c>
      <c r="R52" s="3">
        <v>-0.107216824</v>
      </c>
      <c r="S52" s="3">
        <f>V52+W52*$G52+X52*$H52+Y52*$I52</f>
        <v>-0.56904297703226681</v>
      </c>
      <c r="T52" s="3">
        <f>S52*$B$162+$B$161</f>
        <v>7.7155241065157245</v>
      </c>
      <c r="U52" s="1">
        <v>2</v>
      </c>
      <c r="V52" s="3">
        <v>-0.13655372900000001</v>
      </c>
      <c r="W52" s="3">
        <v>-0.53975352499999996</v>
      </c>
      <c r="X52" s="3">
        <v>6.0196410000000001E-3</v>
      </c>
      <c r="Y52" s="3">
        <v>6.7817348E-2</v>
      </c>
      <c r="Z52" s="3">
        <f>AC52+AD52*$G52+AE52*$H52+AF52*$I52</f>
        <v>0.32693429034141741</v>
      </c>
      <c r="AA52" s="3">
        <f>Z52*$B$162+$B$161</f>
        <v>12.8038587395375</v>
      </c>
      <c r="AB52" s="1">
        <v>0</v>
      </c>
      <c r="AC52" s="3">
        <v>0.54283203499999999</v>
      </c>
      <c r="AD52" s="3">
        <v>-0.49819849599999999</v>
      </c>
      <c r="AE52" s="3">
        <v>0.48327922000000001</v>
      </c>
      <c r="AF52" s="3">
        <v>-0.39680633799999998</v>
      </c>
      <c r="AG52" s="3">
        <v>-0.10387762</v>
      </c>
      <c r="AH52" s="3">
        <v>-0.419870772</v>
      </c>
      <c r="AI52" s="3">
        <v>0.34497630200000001</v>
      </c>
      <c r="AJ52" s="3">
        <v>-4.8687260000000003E-2</v>
      </c>
      <c r="AK52" s="3">
        <f>AN52+AO52*$G52+AP52*$H52+AQ52*$I52</f>
        <v>-0.37865524118309307</v>
      </c>
      <c r="AL52" s="3">
        <f>AK52*$B$162+$B$161</f>
        <v>8.7967530007080974</v>
      </c>
      <c r="AM52" s="1">
        <v>2</v>
      </c>
      <c r="AN52" s="3">
        <v>7.5780177000000004E-2</v>
      </c>
      <c r="AO52" s="3">
        <v>-0.16857382100000001</v>
      </c>
      <c r="AP52" s="3">
        <v>0.83152748499999996</v>
      </c>
      <c r="AQ52" s="3">
        <v>5.0217537999999999E-2</v>
      </c>
    </row>
    <row r="53" spans="1:43" x14ac:dyDescent="0.3">
      <c r="A53" s="1">
        <v>13105</v>
      </c>
      <c r="B53" s="3">
        <v>8</v>
      </c>
      <c r="C53" s="3">
        <v>70</v>
      </c>
      <c r="D53" s="3">
        <v>0.84</v>
      </c>
      <c r="E53" s="3">
        <v>29.989999999999899</v>
      </c>
      <c r="F53" s="3">
        <f>(B53-B$161)/B$162</f>
        <v>-0.5189511587733795</v>
      </c>
      <c r="G53" s="3">
        <f>(C53-C$161)/C$162</f>
        <v>-6.6585501584578563E-3</v>
      </c>
      <c r="H53" s="3">
        <f>(D53-D$161)/D$162</f>
        <v>-0.23623168464810201</v>
      </c>
      <c r="I53" s="3">
        <f>(E53-E$161)/E$162</f>
        <v>0.14987228132728447</v>
      </c>
      <c r="J53" s="2">
        <v>879541.19999999902</v>
      </c>
      <c r="K53" s="1">
        <v>3785425</v>
      </c>
      <c r="L53" s="3">
        <f>O53+P53*$G53+Q53*$H53+R53*$I53</f>
        <v>5.1151871260057415E-2</v>
      </c>
      <c r="M53" s="3">
        <f>L53*$B$162+$B$161</f>
        <v>11.237665840131104</v>
      </c>
      <c r="N53" s="1">
        <v>1</v>
      </c>
      <c r="O53" s="3">
        <v>0.152735132</v>
      </c>
      <c r="P53" s="3">
        <v>-0.40878743200000001</v>
      </c>
      <c r="Q53" s="3">
        <v>0.37351620499999999</v>
      </c>
      <c r="R53" s="3">
        <v>-0.107216824</v>
      </c>
      <c r="S53" s="3">
        <f>V53+W53*$G53+X53*$H53+Y53*$I53</f>
        <v>-0.34645673319740394</v>
      </c>
      <c r="T53" s="3">
        <f>S53*$B$162+$B$161</f>
        <v>8.9796111928533655</v>
      </c>
      <c r="U53" s="1">
        <v>1</v>
      </c>
      <c r="V53" s="3">
        <v>-0.18342203200000001</v>
      </c>
      <c r="W53" s="3">
        <v>-0.17380490200000001</v>
      </c>
      <c r="X53" s="3">
        <v>0.64175570999999998</v>
      </c>
      <c r="Y53" s="3">
        <v>-8.3997902999999999E-2</v>
      </c>
      <c r="Z53" s="3">
        <f>AC53+AD53*$G53+AE53*$H53+AF53*$I53</f>
        <v>-0.32872127333544005</v>
      </c>
      <c r="AA53" s="3">
        <f>Z53*$B$162+$B$161</f>
        <v>9.0803324476601137</v>
      </c>
      <c r="AB53" s="1">
        <v>1</v>
      </c>
      <c r="AC53" s="3">
        <v>-0.27574183299999999</v>
      </c>
      <c r="AD53" s="3">
        <v>-0.23985341199999999</v>
      </c>
      <c r="AE53" s="3">
        <v>0.21363271</v>
      </c>
      <c r="AF53" s="3">
        <v>-2.7421357E-2</v>
      </c>
      <c r="AG53" s="3">
        <v>0.189852512</v>
      </c>
      <c r="AH53" s="3">
        <v>-0.31972599000000002</v>
      </c>
      <c r="AI53" s="3">
        <v>0.70546288999999995</v>
      </c>
      <c r="AJ53" s="3">
        <v>-0.125145115</v>
      </c>
      <c r="AK53" s="3">
        <f>AN53+AO53*$G53+AP53*$H53+AQ53*$I53</f>
        <v>-0.51895115869377806</v>
      </c>
      <c r="AL53" s="3">
        <f>AK53*$B$162+$B$161</f>
        <v>8.0000000004520633</v>
      </c>
      <c r="AM53" s="1">
        <v>3</v>
      </c>
      <c r="AN53" s="3">
        <v>0.270513385</v>
      </c>
      <c r="AO53" s="3">
        <v>0.44600872000000003</v>
      </c>
      <c r="AP53" s="3">
        <v>1.890151015</v>
      </c>
      <c r="AQ53" s="3">
        <v>-2.2684729340000001</v>
      </c>
    </row>
    <row r="54" spans="1:43" x14ac:dyDescent="0.3">
      <c r="A54" s="1">
        <v>13107</v>
      </c>
      <c r="B54" s="3">
        <v>9.1</v>
      </c>
      <c r="C54" s="3">
        <v>64.2</v>
      </c>
      <c r="D54" s="3">
        <v>0.41</v>
      </c>
      <c r="E54" s="3">
        <v>32.579999999999899</v>
      </c>
      <c r="F54" s="3">
        <f>(B54-B$161)/B$162</f>
        <v>-0.32525812063965215</v>
      </c>
      <c r="G54" s="3">
        <f>(C54-C$161)/C$162</f>
        <v>-0.22136187030291779</v>
      </c>
      <c r="H54" s="3">
        <f>(D54-D$161)/D$162</f>
        <v>-0.5851441987848649</v>
      </c>
      <c r="I54" s="3">
        <f>(E54-E$161)/E$162</f>
        <v>0.29934530008050231</v>
      </c>
      <c r="J54" s="2">
        <v>943066.19999999902</v>
      </c>
      <c r="K54" s="1">
        <v>3616602</v>
      </c>
      <c r="L54" s="3">
        <f>O54+P54*$G54+Q54*$H54+R54*$I54</f>
        <v>-0.28948856875426388</v>
      </c>
      <c r="M54" s="3">
        <f>L54*$B$162+$B$161</f>
        <v>9.3031384682332359</v>
      </c>
      <c r="N54" s="1">
        <v>0</v>
      </c>
      <c r="O54" s="3">
        <v>-0.29754170299999999</v>
      </c>
      <c r="P54" s="3">
        <v>-0.36655891800000001</v>
      </c>
      <c r="Q54" s="3">
        <v>0.15384221300000001</v>
      </c>
      <c r="R54" s="3">
        <v>5.6559581999999997E-2</v>
      </c>
      <c r="S54" s="3">
        <f>V54+W54*$G54+X54*$H54+Y54*$I54</f>
        <v>-0.17887843119828947</v>
      </c>
      <c r="T54" s="3">
        <f>S54*$B$162+$B$161</f>
        <v>9.9313032824356391</v>
      </c>
      <c r="U54" s="1">
        <v>3</v>
      </c>
      <c r="V54" s="3">
        <v>0.57876851500000004</v>
      </c>
      <c r="W54" s="3">
        <v>-0.118666143</v>
      </c>
      <c r="X54" s="3">
        <v>1.1943427209999999</v>
      </c>
      <c r="Y54" s="3">
        <v>-0.28412803199999997</v>
      </c>
      <c r="Z54" s="3">
        <f>AC54+AD54*$G54+AE54*$H54+AF54*$I54</f>
        <v>-0.35586182838811264</v>
      </c>
      <c r="AA54" s="3">
        <f>Z54*$B$162+$B$161</f>
        <v>8.9261988203207139</v>
      </c>
      <c r="AB54" s="1">
        <v>1</v>
      </c>
      <c r="AC54" s="3">
        <v>-0.27574183299999999</v>
      </c>
      <c r="AD54" s="3">
        <v>-0.23985341199999999</v>
      </c>
      <c r="AE54" s="3">
        <v>0.21363271</v>
      </c>
      <c r="AF54" s="3">
        <v>-2.7421357E-2</v>
      </c>
      <c r="AG54" s="3">
        <v>-4.5119624999999997E-2</v>
      </c>
      <c r="AH54" s="3">
        <v>-0.34985833799999999</v>
      </c>
      <c r="AI54" s="3">
        <v>0.46073924100000002</v>
      </c>
      <c r="AJ54" s="3">
        <v>-7.1911167999999998E-2</v>
      </c>
      <c r="AK54" s="3">
        <f>AN54+AO54*$G54+AP54*$H54+AQ54*$I54</f>
        <v>-0.35843510669533546</v>
      </c>
      <c r="AL54" s="3">
        <f>AK54*$B$162+$B$161</f>
        <v>8.9115849438220103</v>
      </c>
      <c r="AM54" s="1">
        <v>2</v>
      </c>
      <c r="AN54" s="3">
        <v>7.5780177000000004E-2</v>
      </c>
      <c r="AO54" s="3">
        <v>-0.16857382100000001</v>
      </c>
      <c r="AP54" s="3">
        <v>0.83152748499999996</v>
      </c>
      <c r="AQ54" s="3">
        <v>5.0217537999999999E-2</v>
      </c>
    </row>
    <row r="55" spans="1:43" x14ac:dyDescent="0.3">
      <c r="A55" s="1">
        <v>13109</v>
      </c>
      <c r="B55" s="3">
        <v>8.6</v>
      </c>
      <c r="C55" s="3">
        <v>100</v>
      </c>
      <c r="D55" s="3">
        <v>0.48</v>
      </c>
      <c r="E55" s="3">
        <v>33.880000000000003</v>
      </c>
      <c r="F55" s="3">
        <f>(B55-B$161)/B$162</f>
        <v>-0.41330041070043733</v>
      </c>
      <c r="G55" s="3">
        <f>(C55-C$161)/C$162</f>
        <v>1.1038758643818527</v>
      </c>
      <c r="H55" s="3">
        <f>(D55-D$161)/D$162</f>
        <v>-0.52834448718120575</v>
      </c>
      <c r="I55" s="3">
        <f>(E55-E$161)/E$162</f>
        <v>0.37437036740837826</v>
      </c>
      <c r="J55" s="2">
        <v>981727.8</v>
      </c>
      <c r="K55" s="1">
        <v>3571315</v>
      </c>
      <c r="L55" s="3">
        <f>O55+P55*$G55+Q55*$H55+R55*$I55</f>
        <v>-0.53599947742527243</v>
      </c>
      <c r="M55" s="3">
        <f>L55*$B$162+$B$161</f>
        <v>7.9031810812728596</v>
      </c>
      <c r="N55" s="1">
        <v>1</v>
      </c>
      <c r="O55" s="3">
        <v>0.152735132</v>
      </c>
      <c r="P55" s="3">
        <v>-0.40878743200000001</v>
      </c>
      <c r="Q55" s="3">
        <v>0.37351620499999999</v>
      </c>
      <c r="R55" s="3">
        <v>-0.107216824</v>
      </c>
      <c r="S55" s="3">
        <f>V55+W55*$G55+X55*$H55+Y55*$I55</f>
        <v>-0.28961768435319585</v>
      </c>
      <c r="T55" s="3">
        <f>S55*$B$162+$B$161</f>
        <v>9.3024052092571061</v>
      </c>
      <c r="U55" s="1">
        <v>3</v>
      </c>
      <c r="V55" s="3">
        <v>0.57876851500000004</v>
      </c>
      <c r="W55" s="3">
        <v>-0.118666143</v>
      </c>
      <c r="X55" s="3">
        <v>1.1943427209999999</v>
      </c>
      <c r="Y55" s="3">
        <v>-0.28412803199999997</v>
      </c>
      <c r="Z55" s="3">
        <f>AC55+AD55*$G55+AE55*$H55+AF55*$I55</f>
        <v>-0.41100770660900521</v>
      </c>
      <c r="AA55" s="3">
        <f>Z55*$B$162+$B$161</f>
        <v>8.6130204705593698</v>
      </c>
      <c r="AB55" s="1">
        <v>0</v>
      </c>
      <c r="AC55" s="3">
        <v>0.54283203499999999</v>
      </c>
      <c r="AD55" s="3">
        <v>-0.49819849599999999</v>
      </c>
      <c r="AE55" s="3">
        <v>0.48327922000000001</v>
      </c>
      <c r="AF55" s="3">
        <v>-0.39680633799999998</v>
      </c>
      <c r="AG55" s="3">
        <v>-0.154839061</v>
      </c>
      <c r="AH55" s="3">
        <v>-0.42249260999999999</v>
      </c>
      <c r="AI55" s="3">
        <v>0.30132699099999999</v>
      </c>
      <c r="AJ55" s="3">
        <v>-9.3010769999999996E-3</v>
      </c>
      <c r="AK55" s="3">
        <f>AN55+AO55*$G55+AP55*$H55+AQ55*$I55</f>
        <v>-0.80003257835371311</v>
      </c>
      <c r="AL55" s="3">
        <f>AK55*$B$162+$B$161</f>
        <v>6.4037136052102204</v>
      </c>
      <c r="AM55" s="1">
        <v>0</v>
      </c>
      <c r="AN55" s="3">
        <v>-0.25974846699999998</v>
      </c>
      <c r="AO55" s="3">
        <v>-0.46703683299999998</v>
      </c>
      <c r="AP55" s="3">
        <v>9.7003433E-2</v>
      </c>
      <c r="AQ55" s="3">
        <v>7.0833077999999994E-2</v>
      </c>
    </row>
    <row r="56" spans="1:43" x14ac:dyDescent="0.3">
      <c r="A56" s="1">
        <v>13111</v>
      </c>
      <c r="B56" s="3">
        <v>7.8</v>
      </c>
      <c r="C56" s="3">
        <v>100</v>
      </c>
      <c r="D56" s="3">
        <v>0.57999999999999996</v>
      </c>
      <c r="E56" s="3">
        <v>0.03</v>
      </c>
      <c r="F56" s="3">
        <f>(B56-B$161)/B$162</f>
        <v>-0.55416807479769359</v>
      </c>
      <c r="G56" s="3">
        <f>(C56-C$161)/C$162</f>
        <v>1.1038758643818527</v>
      </c>
      <c r="H56" s="3">
        <f>(D56-D$161)/D$162</f>
        <v>-0.44720204203312142</v>
      </c>
      <c r="I56" s="3">
        <f>(E56-E$161)/E$162</f>
        <v>-1.5791669626288509</v>
      </c>
      <c r="J56" s="2">
        <v>739255.8</v>
      </c>
      <c r="K56" s="1">
        <v>3866604</v>
      </c>
      <c r="L56" s="3">
        <f>O56+P56*$G56+Q56*$H56+R56*$I56</f>
        <v>-0.86029282057311851</v>
      </c>
      <c r="M56" s="3">
        <f>L56*$B$162+$B$161</f>
        <v>6.0614903271821206</v>
      </c>
      <c r="N56" s="1">
        <v>0</v>
      </c>
      <c r="O56" s="3">
        <v>-0.29754170299999999</v>
      </c>
      <c r="P56" s="3">
        <v>-0.36655891800000001</v>
      </c>
      <c r="Q56" s="3">
        <v>0.15384221300000001</v>
      </c>
      <c r="R56" s="3">
        <v>5.6559581999999997E-2</v>
      </c>
      <c r="S56" s="3">
        <f>V56+W56*$G56+X56*$H56+Y56*$I56</f>
        <v>-0.52962881907976611</v>
      </c>
      <c r="T56" s="3">
        <f>S56*$B$162+$B$161</f>
        <v>7.9393606169318485</v>
      </c>
      <c r="U56" s="1">
        <v>1</v>
      </c>
      <c r="V56" s="3">
        <v>-0.18342203200000001</v>
      </c>
      <c r="W56" s="3">
        <v>-0.17380490200000001</v>
      </c>
      <c r="X56" s="3">
        <v>0.64175570999999998</v>
      </c>
      <c r="Y56" s="3">
        <v>-8.3997902999999999E-2</v>
      </c>
      <c r="Z56" s="3">
        <f>AC56+AD56*$G56+AE56*$H56+AF56*$I56</f>
        <v>-0.59274430860865501</v>
      </c>
      <c r="AA56" s="3">
        <f>Z56*$B$162+$B$161</f>
        <v>7.580922135349228</v>
      </c>
      <c r="AB56" s="1">
        <v>1</v>
      </c>
      <c r="AC56" s="3">
        <v>-0.27574183299999999</v>
      </c>
      <c r="AD56" s="3">
        <v>-0.23985341199999999</v>
      </c>
      <c r="AE56" s="3">
        <v>0.21363271</v>
      </c>
      <c r="AF56" s="3">
        <v>-2.7421357E-2</v>
      </c>
      <c r="AG56" s="3">
        <v>0.13346174</v>
      </c>
      <c r="AH56" s="3">
        <v>-0.27618159399999997</v>
      </c>
      <c r="AI56" s="3">
        <v>0.72869907599999995</v>
      </c>
      <c r="AJ56" s="3">
        <v>-4.8398643999999998E-2</v>
      </c>
      <c r="AK56" s="3">
        <f>AN56+AO56*$G56+AP56*$H56+AQ56*$I56</f>
        <v>-0.20322602017463909</v>
      </c>
      <c r="AL56" s="3">
        <f>AK56*$B$162+$B$161</f>
        <v>9.7930311579853324</v>
      </c>
      <c r="AM56" s="1">
        <v>4</v>
      </c>
      <c r="AN56" s="3">
        <v>0.61558443699999998</v>
      </c>
      <c r="AO56" s="3">
        <v>-0.957700683</v>
      </c>
      <c r="AP56" s="3">
        <v>0.17952755200000001</v>
      </c>
      <c r="AQ56" s="3">
        <v>-0.20178822599999999</v>
      </c>
    </row>
    <row r="57" spans="1:43" x14ac:dyDescent="0.3">
      <c r="A57" s="1">
        <v>13113</v>
      </c>
      <c r="B57" s="3">
        <v>25.8</v>
      </c>
      <c r="C57" s="3">
        <v>53.899999999999899</v>
      </c>
      <c r="D57" s="3">
        <v>2.85</v>
      </c>
      <c r="E57" s="3">
        <v>5.13</v>
      </c>
      <c r="F57" s="3">
        <f>(B57-B$161)/B$162</f>
        <v>2.615354367390573</v>
      </c>
      <c r="G57" s="3">
        <f>(C57-C$161)/C$162</f>
        <v>-0.60264535262842822</v>
      </c>
      <c r="H57" s="3">
        <f>(D57-D$161)/D$162</f>
        <v>1.394731462828394</v>
      </c>
      <c r="I57" s="3">
        <f>(E57-E$161)/E$162</f>
        <v>-1.2848378523425921</v>
      </c>
      <c r="J57" s="2">
        <v>731468.7</v>
      </c>
      <c r="K57" s="1">
        <v>3700612</v>
      </c>
      <c r="L57" s="3">
        <f>O57+P57*$G57+Q57*$H57+R57*$I57</f>
        <v>1.9771394633546724</v>
      </c>
      <c r="M57" s="3">
        <f>L57*$B$162+$B$161</f>
        <v>22.175520766240453</v>
      </c>
      <c r="N57" s="1">
        <v>2</v>
      </c>
      <c r="O57" s="3">
        <v>0.94371922399999997</v>
      </c>
      <c r="P57" s="3">
        <v>-0.79405312100000003</v>
      </c>
      <c r="Q57" s="3">
        <v>0.26666736400000002</v>
      </c>
      <c r="R57" s="3">
        <v>-0.14239808800000001</v>
      </c>
      <c r="S57" s="3">
        <f>V57+W57*$G57+X57*$H57+Y57*$I57</f>
        <v>2.6811279353972721</v>
      </c>
      <c r="T57" s="3">
        <f>S57*$B$162+$B$161</f>
        <v>26.173533945796322</v>
      </c>
      <c r="U57" s="1">
        <v>3</v>
      </c>
      <c r="V57" s="3">
        <v>0.57876851500000004</v>
      </c>
      <c r="W57" s="3">
        <v>-0.118666143</v>
      </c>
      <c r="X57" s="3">
        <v>1.1943427209999999</v>
      </c>
      <c r="Y57" s="3">
        <v>-0.28412803199999997</v>
      </c>
      <c r="Z57" s="3">
        <f>AC57+AD57*$G57+AE57*$H57+AF57*$I57</f>
        <v>2.0269455798778866</v>
      </c>
      <c r="AA57" s="3">
        <f>Z57*$B$162+$B$161</f>
        <v>22.458374134143696</v>
      </c>
      <c r="AB57" s="1">
        <v>0</v>
      </c>
      <c r="AC57" s="3">
        <v>0.54283203499999999</v>
      </c>
      <c r="AD57" s="3">
        <v>-0.49819849599999999</v>
      </c>
      <c r="AE57" s="3">
        <v>0.48327922000000001</v>
      </c>
      <c r="AF57" s="3">
        <v>-0.39680633799999998</v>
      </c>
      <c r="AG57" s="3">
        <v>0.14407123599999999</v>
      </c>
      <c r="AH57" s="3">
        <v>-0.269650418</v>
      </c>
      <c r="AI57" s="3">
        <v>0.67594734899999998</v>
      </c>
      <c r="AJ57" s="3">
        <v>-9.4997593000000005E-2</v>
      </c>
      <c r="AK57" s="3">
        <f>AN57+AO57*$G57+AP57*$H57+AQ57*$I57</f>
        <v>2.6153543681145033</v>
      </c>
      <c r="AL57" s="3">
        <f>AK57*$B$162+$B$161</f>
        <v>25.800000004111265</v>
      </c>
      <c r="AM57" s="1">
        <v>1</v>
      </c>
      <c r="AN57" s="3">
        <v>5.9513438949999999</v>
      </c>
      <c r="AO57" s="3">
        <v>2.6258562620000001</v>
      </c>
      <c r="AP57" s="3">
        <v>0.60460221000000003</v>
      </c>
      <c r="AQ57" s="3">
        <v>2.0211010859999998</v>
      </c>
    </row>
    <row r="58" spans="1:43" x14ac:dyDescent="0.3">
      <c r="A58" s="1">
        <v>13115</v>
      </c>
      <c r="B58" s="3">
        <v>13.6999999999999</v>
      </c>
      <c r="C58" s="3">
        <v>36.1</v>
      </c>
      <c r="D58" s="3">
        <v>1.0900000000000001</v>
      </c>
      <c r="E58" s="3">
        <v>13.56</v>
      </c>
      <c r="F58" s="3">
        <f>(B58-B$161)/B$162</f>
        <v>0.48473094791955396</v>
      </c>
      <c r="G58" s="3">
        <f>(C58-C$161)/C$162</f>
        <v>-1.2615624385890087</v>
      </c>
      <c r="H58" s="3">
        <f>(D58-D$161)/D$162</f>
        <v>-3.3375571777890994E-2</v>
      </c>
      <c r="I58" s="3">
        <f>(E58-E$161)/E$162</f>
        <v>-0.79832914651648146</v>
      </c>
      <c r="J58" s="2">
        <v>662257.4</v>
      </c>
      <c r="K58" s="1">
        <v>3789664</v>
      </c>
      <c r="L58" s="3">
        <f>O58+P58*$G58+Q58*$H58+R58*$I58</f>
        <v>0.11460752483078845</v>
      </c>
      <c r="M58" s="3">
        <f>L58*$B$162+$B$161</f>
        <v>11.598036143578009</v>
      </c>
      <c r="N58" s="1">
        <v>0</v>
      </c>
      <c r="O58" s="3">
        <v>-0.29754170299999999</v>
      </c>
      <c r="P58" s="3">
        <v>-0.36655891800000001</v>
      </c>
      <c r="Q58" s="3">
        <v>0.15384221300000001</v>
      </c>
      <c r="R58" s="3">
        <v>5.6559581999999997E-2</v>
      </c>
      <c r="S58" s="3">
        <f>V58+W58*$G58+X58*$H58+Y58*$I58</f>
        <v>8.1482714454031491E-2</v>
      </c>
      <c r="T58" s="3">
        <f>S58*$B$162+$B$161</f>
        <v>11.409917397723675</v>
      </c>
      <c r="U58" s="1">
        <v>1</v>
      </c>
      <c r="V58" s="3">
        <v>-0.18342203200000001</v>
      </c>
      <c r="W58" s="3">
        <v>-0.17380490200000001</v>
      </c>
      <c r="X58" s="3">
        <v>0.64175570999999998</v>
      </c>
      <c r="Y58" s="3">
        <v>-8.3997902999999999E-2</v>
      </c>
      <c r="Z58" s="3">
        <f>AC58+AD58*$G58+AE58*$H58+AF58*$I58</f>
        <v>4.1609377030037586E-2</v>
      </c>
      <c r="AA58" s="3">
        <f>Z58*$B$162+$B$161</f>
        <v>11.183473166227282</v>
      </c>
      <c r="AB58" s="1">
        <v>1</v>
      </c>
      <c r="AC58" s="3">
        <v>-0.27574183299999999</v>
      </c>
      <c r="AD58" s="3">
        <v>-0.23985341199999999</v>
      </c>
      <c r="AE58" s="3">
        <v>0.21363271</v>
      </c>
      <c r="AF58" s="3">
        <v>-2.7421357E-2</v>
      </c>
      <c r="AG58" s="3">
        <v>0.113496076</v>
      </c>
      <c r="AH58" s="3">
        <v>-0.26013311300000003</v>
      </c>
      <c r="AI58" s="3">
        <v>0.71138764399999999</v>
      </c>
      <c r="AJ58" s="3">
        <v>-4.0981983999999999E-2</v>
      </c>
      <c r="AK58" s="3">
        <f>AN58+AO58*$G58+AP58*$H58+AQ58*$I58</f>
        <v>0.22060374819042142</v>
      </c>
      <c r="AL58" s="3">
        <f>AK58*$B$162+$B$161</f>
        <v>12.199998128474427</v>
      </c>
      <c r="AM58" s="1">
        <v>2</v>
      </c>
      <c r="AN58" s="3">
        <v>7.5780177000000004E-2</v>
      </c>
      <c r="AO58" s="3">
        <v>-0.16857382100000001</v>
      </c>
      <c r="AP58" s="3">
        <v>0.83152748499999996</v>
      </c>
      <c r="AQ58" s="3">
        <v>5.0217537999999999E-2</v>
      </c>
    </row>
    <row r="59" spans="1:43" x14ac:dyDescent="0.3">
      <c r="A59" s="1">
        <v>13117</v>
      </c>
      <c r="B59" s="3">
        <v>15.6</v>
      </c>
      <c r="C59" s="3">
        <v>93.7</v>
      </c>
      <c r="D59" s="3">
        <v>1.17</v>
      </c>
      <c r="E59" s="3">
        <v>0</v>
      </c>
      <c r="F59" s="3">
        <f>(B59-B$161)/B$162</f>
        <v>0.81929165015055527</v>
      </c>
      <c r="G59" s="3">
        <f>(C59-C$161)/C$162</f>
        <v>0.87066363732838747</v>
      </c>
      <c r="H59" s="3">
        <f>(D59-D$161)/D$162</f>
        <v>3.1538384340576382E-2</v>
      </c>
      <c r="I59" s="3">
        <f>(E59-E$161)/E$162</f>
        <v>-1.5808983103364174</v>
      </c>
      <c r="J59" s="2">
        <v>765397.3</v>
      </c>
      <c r="K59" s="1">
        <v>3789005</v>
      </c>
      <c r="L59" s="3">
        <f>O59+P59*$G59+Q59*$H59+R59*$I59</f>
        <v>0.48589319996943864</v>
      </c>
      <c r="M59" s="3">
        <f>L59*$B$162+$B$161</f>
        <v>13.706600532818175</v>
      </c>
      <c r="N59" s="1">
        <v>2</v>
      </c>
      <c r="O59" s="3">
        <v>0.94371922399999997</v>
      </c>
      <c r="P59" s="3">
        <v>-0.79405312100000003</v>
      </c>
      <c r="Q59" s="3">
        <v>0.26666736400000002</v>
      </c>
      <c r="R59" s="3">
        <v>-0.14239808800000001</v>
      </c>
      <c r="S59" s="3">
        <f>V59+W59*$G59+X59*$H59+Y59*$I59</f>
        <v>0.96229538478516874</v>
      </c>
      <c r="T59" s="3">
        <f>S59*$B$162+$B$161</f>
        <v>16.412130934667207</v>
      </c>
      <c r="U59" s="1">
        <v>3</v>
      </c>
      <c r="V59" s="3">
        <v>0.57876851500000004</v>
      </c>
      <c r="W59" s="3">
        <v>-0.118666143</v>
      </c>
      <c r="X59" s="3">
        <v>1.1943427209999999</v>
      </c>
      <c r="Y59" s="3">
        <v>-0.28412803199999997</v>
      </c>
      <c r="Z59" s="3">
        <f>AC59+AD59*$G59+AE59*$H59+AF59*$I59</f>
        <v>0.75162103542026304</v>
      </c>
      <c r="AA59" s="3">
        <f>Z59*$B$162+$B$161</f>
        <v>15.215692557045189</v>
      </c>
      <c r="AB59" s="1">
        <v>0</v>
      </c>
      <c r="AC59" s="3">
        <v>0.54283203499999999</v>
      </c>
      <c r="AD59" s="3">
        <v>-0.49819849599999999</v>
      </c>
      <c r="AE59" s="3">
        <v>0.48327922000000001</v>
      </c>
      <c r="AF59" s="3">
        <v>-0.39680633799999998</v>
      </c>
      <c r="AG59" s="3">
        <v>0.144516054</v>
      </c>
      <c r="AH59" s="3">
        <v>-0.282941783</v>
      </c>
      <c r="AI59" s="3">
        <v>0.71882919599999995</v>
      </c>
      <c r="AJ59" s="3">
        <v>-6.8795303000000002E-2</v>
      </c>
      <c r="AK59" s="3">
        <f>AN59+AO59*$G59+AP59*$H59+AQ59*$I59</f>
        <v>0.10641795133122089</v>
      </c>
      <c r="AL59" s="3">
        <f>AK59*$B$162+$B$161</f>
        <v>11.55152682689671</v>
      </c>
      <c r="AM59" s="1">
        <v>4</v>
      </c>
      <c r="AN59" s="3">
        <v>0.61558443699999998</v>
      </c>
      <c r="AO59" s="3">
        <v>-0.957700683</v>
      </c>
      <c r="AP59" s="3">
        <v>0.17952755200000001</v>
      </c>
      <c r="AQ59" s="3">
        <v>-0.20178822599999999</v>
      </c>
    </row>
    <row r="60" spans="1:43" x14ac:dyDescent="0.3">
      <c r="A60" s="1">
        <v>13119</v>
      </c>
      <c r="B60" s="3">
        <v>9.5</v>
      </c>
      <c r="C60" s="3">
        <v>87.2</v>
      </c>
      <c r="D60" s="3">
        <v>0.44</v>
      </c>
      <c r="E60" s="3">
        <v>9.89</v>
      </c>
      <c r="F60" s="3">
        <f>(B60-B$161)/B$162</f>
        <v>-0.25482428859102396</v>
      </c>
      <c r="G60" s="3">
        <f>(C60-C$161)/C$162</f>
        <v>0.63004784751132026</v>
      </c>
      <c r="H60" s="3">
        <f>(D60-D$161)/D$162</f>
        <v>-0.5608014652404395</v>
      </c>
      <c r="I60" s="3">
        <f>(E60-E$161)/E$162</f>
        <v>-1.0101306827420835</v>
      </c>
      <c r="J60" s="2">
        <v>845701.3</v>
      </c>
      <c r="K60" s="1">
        <v>3813323</v>
      </c>
      <c r="L60" s="3">
        <f>O60+P60*$G60+Q60*$H60+R60*$I60</f>
        <v>-0.20598594104777074</v>
      </c>
      <c r="M60" s="3">
        <f>L60*$B$162+$B$161</f>
        <v>9.7773573217458036</v>
      </c>
      <c r="N60" s="1">
        <v>1</v>
      </c>
      <c r="O60" s="3">
        <v>0.152735132</v>
      </c>
      <c r="P60" s="3">
        <v>-0.40878743200000001</v>
      </c>
      <c r="Q60" s="3">
        <v>0.37351620499999999</v>
      </c>
      <c r="R60" s="3">
        <v>-0.107216824</v>
      </c>
      <c r="S60" s="3">
        <f>V60+W60*$G60+X60*$H60+Y60*$I60</f>
        <v>-0.56797611978014118</v>
      </c>
      <c r="T60" s="3">
        <f>S60*$B$162+$B$161</f>
        <v>7.7215828837884928</v>
      </c>
      <c r="U60" s="1">
        <v>1</v>
      </c>
      <c r="V60" s="3">
        <v>-0.18342203200000001</v>
      </c>
      <c r="W60" s="3">
        <v>-0.17380490200000001</v>
      </c>
      <c r="X60" s="3">
        <v>0.64175570999999998</v>
      </c>
      <c r="Y60" s="3">
        <v>-8.3997902999999999E-2</v>
      </c>
      <c r="Z60" s="3">
        <f>AC60+AD60*$G60+AE60*$H60+AF60*$I60</f>
        <v>-0.51896734167200731</v>
      </c>
      <c r="AA60" s="3">
        <f>Z60*$B$162+$B$161</f>
        <v>7.9999080958786024</v>
      </c>
      <c r="AB60" s="1">
        <v>1</v>
      </c>
      <c r="AC60" s="3">
        <v>-0.27574183299999999</v>
      </c>
      <c r="AD60" s="3">
        <v>-0.23985341199999999</v>
      </c>
      <c r="AE60" s="3">
        <v>0.21363271</v>
      </c>
      <c r="AF60" s="3">
        <v>-2.7421357E-2</v>
      </c>
      <c r="AG60" s="3">
        <v>0.16928575100000001</v>
      </c>
      <c r="AH60" s="3">
        <v>-0.307863834</v>
      </c>
      <c r="AI60" s="3">
        <v>0.71763394899999999</v>
      </c>
      <c r="AJ60" s="3">
        <v>-9.3622749000000005E-2</v>
      </c>
      <c r="AK60" s="3">
        <f>AN60+AO60*$G60+AP60*$H60+AQ60*$I60</f>
        <v>-0.54747750398907269</v>
      </c>
      <c r="AL60" s="3">
        <f>AK60*$B$162+$B$161</f>
        <v>7.8379963470055216</v>
      </c>
      <c r="AM60" s="1">
        <v>2</v>
      </c>
      <c r="AN60" s="3">
        <v>7.5780177000000004E-2</v>
      </c>
      <c r="AO60" s="3">
        <v>-0.16857382100000001</v>
      </c>
      <c r="AP60" s="3">
        <v>0.83152748499999996</v>
      </c>
      <c r="AQ60" s="3">
        <v>5.0217537999999999E-2</v>
      </c>
    </row>
    <row r="61" spans="1:43" x14ac:dyDescent="0.3">
      <c r="A61" s="1">
        <v>13121</v>
      </c>
      <c r="B61" s="3">
        <v>31.6</v>
      </c>
      <c r="C61" s="3">
        <v>4.2</v>
      </c>
      <c r="D61" s="3">
        <v>4.13</v>
      </c>
      <c r="E61" s="3">
        <v>49.92</v>
      </c>
      <c r="F61" s="3">
        <f>(B61-B$161)/B$162</f>
        <v>3.6366449320956815</v>
      </c>
      <c r="G61" s="3">
        <f>(C61-C$161)/C$162</f>
        <v>-2.4424306993835385</v>
      </c>
      <c r="H61" s="3">
        <f>(D61-D$161)/D$162</f>
        <v>2.4333547607238737</v>
      </c>
      <c r="I61" s="3">
        <f>(E61-E$161)/E$162</f>
        <v>1.300064275053789</v>
      </c>
      <c r="J61" s="2">
        <v>733728.4</v>
      </c>
      <c r="K61" s="1">
        <v>3733248</v>
      </c>
      <c r="L61" s="3">
        <f>O61+P61*$G61+Q61*$H61+R61*$I61</f>
        <v>3.3469085763460322</v>
      </c>
      <c r="M61" s="3">
        <f>L61*$B$162+$B$161</f>
        <v>29.954561452515534</v>
      </c>
      <c r="N61" s="1">
        <v>2</v>
      </c>
      <c r="O61" s="3">
        <v>0.94371922399999997</v>
      </c>
      <c r="P61" s="3">
        <v>-0.79405312100000003</v>
      </c>
      <c r="Q61" s="3">
        <v>0.26666736400000002</v>
      </c>
      <c r="R61" s="3">
        <v>-0.14239808800000001</v>
      </c>
      <c r="S61" s="3">
        <f>V61+W61*$G61+X61*$H61+Y61*$I61</f>
        <v>3.4054771877773526</v>
      </c>
      <c r="T61" s="3">
        <f>S61*$B$162+$B$161</f>
        <v>30.287177808762536</v>
      </c>
      <c r="U61" s="1">
        <v>3</v>
      </c>
      <c r="V61" s="3">
        <v>0.57876851500000004</v>
      </c>
      <c r="W61" s="3">
        <v>-0.118666143</v>
      </c>
      <c r="X61" s="3">
        <v>1.1943427209999999</v>
      </c>
      <c r="Y61" s="3">
        <v>-0.28412803199999997</v>
      </c>
      <c r="Z61" s="3">
        <f>AC61+AD61*$G61+AE61*$H61+AF61*$I61</f>
        <v>2.4197633826143088</v>
      </c>
      <c r="AA61" s="3">
        <f>Z61*$B$162+$B$161</f>
        <v>24.689221392121752</v>
      </c>
      <c r="AB61" s="1">
        <v>0</v>
      </c>
      <c r="AC61" s="3">
        <v>0.54283203499999999</v>
      </c>
      <c r="AD61" s="3">
        <v>-0.49819849599999999</v>
      </c>
      <c r="AE61" s="3">
        <v>0.48327922000000001</v>
      </c>
      <c r="AF61" s="3">
        <v>-0.39680633799999998</v>
      </c>
      <c r="AG61" s="3">
        <v>0.138999605</v>
      </c>
      <c r="AH61" s="3">
        <v>-0.27300361099999998</v>
      </c>
      <c r="AI61" s="3">
        <v>0.70084752299999997</v>
      </c>
      <c r="AJ61" s="3">
        <v>-7.5994730999999996E-2</v>
      </c>
      <c r="AK61" s="3">
        <f>AN61+AO61*$G61+AP61*$H61+AQ61*$I61</f>
        <v>3.6366449327513868</v>
      </c>
      <c r="AL61" s="3">
        <f>AK61*$B$162+$B$161</f>
        <v>31.600000003723814</v>
      </c>
      <c r="AM61" s="1">
        <v>1</v>
      </c>
      <c r="AN61" s="3">
        <v>5.9513438949999999</v>
      </c>
      <c r="AO61" s="3">
        <v>2.6258562620000001</v>
      </c>
      <c r="AP61" s="3">
        <v>0.60460221000000003</v>
      </c>
      <c r="AQ61" s="3">
        <v>2.0211010859999998</v>
      </c>
    </row>
    <row r="62" spans="1:43" x14ac:dyDescent="0.3">
      <c r="A62" s="1">
        <v>13123</v>
      </c>
      <c r="B62" s="3">
        <v>8.6</v>
      </c>
      <c r="C62" s="3">
        <v>100</v>
      </c>
      <c r="D62" s="3">
        <v>0.45</v>
      </c>
      <c r="E62" s="3">
        <v>0.26</v>
      </c>
      <c r="F62" s="3">
        <f>(B62-B$161)/B$162</f>
        <v>-0.41330041070043733</v>
      </c>
      <c r="G62" s="3">
        <f>(C62-C$161)/C$162</f>
        <v>1.1038758643818527</v>
      </c>
      <c r="H62" s="3">
        <f>(D62-D$161)/D$162</f>
        <v>-0.55268722072563103</v>
      </c>
      <c r="I62" s="3">
        <f>(E62-E$161)/E$162</f>
        <v>-1.5658932968708432</v>
      </c>
      <c r="J62" s="2">
        <v>732702.3</v>
      </c>
      <c r="K62" s="1">
        <v>3844809</v>
      </c>
      <c r="L62" s="3">
        <f>O62+P62*$G62+Q62*$H62+R62*$I62</f>
        <v>-0.33706297507149197</v>
      </c>
      <c r="M62" s="3">
        <f>L62*$B$162+$B$161</f>
        <v>9.0329591811861683</v>
      </c>
      <c r="N62" s="1">
        <v>1</v>
      </c>
      <c r="O62" s="3">
        <v>0.152735132</v>
      </c>
      <c r="P62" s="3">
        <v>-0.40878743200000001</v>
      </c>
      <c r="Q62" s="3">
        <v>0.37351620499999999</v>
      </c>
      <c r="R62" s="3">
        <v>-0.107216824</v>
      </c>
      <c r="S62" s="3">
        <f>V62+W62*$G62+X62*$H62+Y62*$I62</f>
        <v>-0.59843949491484993</v>
      </c>
      <c r="T62" s="3">
        <f>S62*$B$162+$B$161</f>
        <v>7.5485786655106821</v>
      </c>
      <c r="U62" s="1">
        <v>1</v>
      </c>
      <c r="V62" s="3">
        <v>-0.18342203200000001</v>
      </c>
      <c r="W62" s="3">
        <v>-0.17380490200000001</v>
      </c>
      <c r="X62" s="3">
        <v>0.64175570999999998</v>
      </c>
      <c r="Y62" s="3">
        <v>-8.3997902999999999E-2</v>
      </c>
      <c r="Z62" s="3">
        <f>AC62+AD62*$G62+AE62*$H62+AF62*$I62</f>
        <v>-0.6156433751250191</v>
      </c>
      <c r="AA62" s="3">
        <f>Z62*$B$162+$B$161</f>
        <v>7.450876298850913</v>
      </c>
      <c r="AB62" s="1">
        <v>1</v>
      </c>
      <c r="AC62" s="3">
        <v>-0.27574183299999999</v>
      </c>
      <c r="AD62" s="3">
        <v>-0.23985341199999999</v>
      </c>
      <c r="AE62" s="3">
        <v>0.21363271</v>
      </c>
      <c r="AF62" s="3">
        <v>-2.7421357E-2</v>
      </c>
      <c r="AG62" s="3">
        <v>0.13245736599999999</v>
      </c>
      <c r="AH62" s="3">
        <v>-0.274970516</v>
      </c>
      <c r="AI62" s="3">
        <v>0.72653877600000005</v>
      </c>
      <c r="AJ62" s="3">
        <v>-4.9429243999999997E-2</v>
      </c>
      <c r="AK62" s="3">
        <f>AN62+AO62*$G62+AP62*$H62+AQ62*$I62</f>
        <v>-0.22484198554341323</v>
      </c>
      <c r="AL62" s="3">
        <f>AK62*$B$162+$B$161</f>
        <v>9.6702721670853329</v>
      </c>
      <c r="AM62" s="1">
        <v>4</v>
      </c>
      <c r="AN62" s="3">
        <v>0.61558443699999998</v>
      </c>
      <c r="AO62" s="3">
        <v>-0.957700683</v>
      </c>
      <c r="AP62" s="3">
        <v>0.17952755200000001</v>
      </c>
      <c r="AQ62" s="3">
        <v>-0.20178822599999999</v>
      </c>
    </row>
    <row r="63" spans="1:43" x14ac:dyDescent="0.3">
      <c r="A63" s="1">
        <v>13125</v>
      </c>
      <c r="B63" s="3">
        <v>5.3</v>
      </c>
      <c r="C63" s="3">
        <v>100</v>
      </c>
      <c r="D63" s="3">
        <v>0.42</v>
      </c>
      <c r="E63" s="3">
        <v>12.69</v>
      </c>
      <c r="F63" s="3">
        <f>(B63-B$161)/B$162</f>
        <v>-0.99437952510161953</v>
      </c>
      <c r="G63" s="3">
        <f>(C63-C$161)/C$162</f>
        <v>1.1038758643818527</v>
      </c>
      <c r="H63" s="3">
        <f>(D63-D$161)/D$162</f>
        <v>-0.57702995427005643</v>
      </c>
      <c r="I63" s="3">
        <f>(E63-E$161)/E$162</f>
        <v>-0.84853823003590212</v>
      </c>
      <c r="J63" s="2">
        <v>908386.8</v>
      </c>
      <c r="K63" s="1">
        <v>3685752</v>
      </c>
      <c r="L63" s="3">
        <f>O63+P63*$G63+Q63*$H63+R63*$I63</f>
        <v>-0.42306791247068204</v>
      </c>
      <c r="M63" s="3">
        <f>L63*$B$162+$B$161</f>
        <v>8.5445294882521736</v>
      </c>
      <c r="N63" s="1">
        <v>1</v>
      </c>
      <c r="O63" s="3">
        <v>0.152735132</v>
      </c>
      <c r="P63" s="3">
        <v>-0.40878743200000001</v>
      </c>
      <c r="Q63" s="3">
        <v>0.37351620499999999</v>
      </c>
      <c r="R63" s="3">
        <v>-0.107216824</v>
      </c>
      <c r="S63" s="3">
        <f>V63+W63*$G63+X63*$H63+Y63*$I63</f>
        <v>-0.79339374357112791</v>
      </c>
      <c r="T63" s="3">
        <f>S63*$B$162+$B$161</f>
        <v>6.4414161387199789</v>
      </c>
      <c r="U63" s="1">
        <v>2</v>
      </c>
      <c r="V63" s="3">
        <v>-0.13655372900000001</v>
      </c>
      <c r="W63" s="3">
        <v>-0.53975352499999996</v>
      </c>
      <c r="X63" s="3">
        <v>6.0196410000000001E-3</v>
      </c>
      <c r="Y63" s="3">
        <v>6.7817348E-2</v>
      </c>
      <c r="Z63" s="3">
        <f>AC63+AD63*$G63+AE63*$H63+AF63*$I63</f>
        <v>-0.64051462864436237</v>
      </c>
      <c r="AA63" s="3">
        <f>Z63*$B$162+$B$161</f>
        <v>7.3096302368608637</v>
      </c>
      <c r="AB63" s="1">
        <v>1</v>
      </c>
      <c r="AC63" s="3">
        <v>-0.27574183299999999</v>
      </c>
      <c r="AD63" s="3">
        <v>-0.23985341199999999</v>
      </c>
      <c r="AE63" s="3">
        <v>0.21363271</v>
      </c>
      <c r="AF63" s="3">
        <v>-2.7421357E-2</v>
      </c>
      <c r="AG63" s="3">
        <v>0.17387801999999999</v>
      </c>
      <c r="AH63" s="3">
        <v>-0.25184514099999999</v>
      </c>
      <c r="AI63" s="3">
        <v>0.72092512900000005</v>
      </c>
      <c r="AJ63" s="3">
        <v>-0.167296738</v>
      </c>
      <c r="AK63" s="3">
        <f>AN63+AO63*$G63+AP63*$H63+AQ63*$I63</f>
        <v>-0.89137761586818143</v>
      </c>
      <c r="AL63" s="3">
        <f>AK63*$B$162+$B$161</f>
        <v>5.8849570085144567</v>
      </c>
      <c r="AM63" s="1">
        <v>0</v>
      </c>
      <c r="AN63" s="3">
        <v>-0.25974846699999998</v>
      </c>
      <c r="AO63" s="3">
        <v>-0.46703683299999998</v>
      </c>
      <c r="AP63" s="3">
        <v>9.7003433E-2</v>
      </c>
      <c r="AQ63" s="3">
        <v>7.0833077999999994E-2</v>
      </c>
    </row>
    <row r="64" spans="1:43" x14ac:dyDescent="0.3">
      <c r="A64" s="1">
        <v>13127</v>
      </c>
      <c r="B64" s="3">
        <v>19.899999999999899</v>
      </c>
      <c r="C64" s="3">
        <v>20.3</v>
      </c>
      <c r="D64" s="3">
        <v>1.37</v>
      </c>
      <c r="E64" s="3">
        <v>25.57</v>
      </c>
      <c r="F64" s="3">
        <f>(B64-B$161)/B$162</f>
        <v>1.5764553446732901</v>
      </c>
      <c r="G64" s="3">
        <f>(C64-C$161)/C$162</f>
        <v>-1.8464438969135724</v>
      </c>
      <c r="H64" s="3">
        <f>(D64-D$161)/D$162</f>
        <v>0.19382327463674529</v>
      </c>
      <c r="I64" s="3">
        <f>(E64-E$161)/E$162</f>
        <v>-0.10521294758746752</v>
      </c>
      <c r="J64" s="2">
        <v>1023411</v>
      </c>
      <c r="K64" s="1">
        <v>3471063</v>
      </c>
      <c r="L64" s="3">
        <f>O64+P64*$G64+Q64*$H64+R64*$I64</f>
        <v>0.40315617516483121</v>
      </c>
      <c r="M64" s="3">
        <f>L64*$B$162+$B$161</f>
        <v>13.236729606315212</v>
      </c>
      <c r="N64" s="1">
        <v>0</v>
      </c>
      <c r="O64" s="3">
        <v>-0.29754170299999999</v>
      </c>
      <c r="P64" s="3">
        <v>-0.36655891800000001</v>
      </c>
      <c r="Q64" s="3">
        <v>0.15384221300000001</v>
      </c>
      <c r="R64" s="3">
        <v>5.6559581999999997E-2</v>
      </c>
      <c r="S64" s="3">
        <f>V64+W64*$G64+X64*$H64+Y64*$I64</f>
        <v>0.85410235652394972</v>
      </c>
      <c r="T64" s="3">
        <f>S64*$B$162+$B$161</f>
        <v>15.797693099244469</v>
      </c>
      <c r="U64" s="1">
        <v>2</v>
      </c>
      <c r="V64" s="3">
        <v>-0.13655372900000001</v>
      </c>
      <c r="W64" s="3">
        <v>-0.53975352499999996</v>
      </c>
      <c r="X64" s="3">
        <v>6.0196410000000001E-3</v>
      </c>
      <c r="Y64" s="3">
        <v>6.7817348E-2</v>
      </c>
      <c r="Z64" s="3">
        <f>AC64+AD64*$G64+AE64*$H64+AF64*$I64</f>
        <v>1.5981475328173815</v>
      </c>
      <c r="AA64" s="3">
        <f>Z64*$B$162+$B$161</f>
        <v>20.023191866823872</v>
      </c>
      <c r="AB64" s="1">
        <v>0</v>
      </c>
      <c r="AC64" s="3">
        <v>0.54283203499999999</v>
      </c>
      <c r="AD64" s="3">
        <v>-0.49819849599999999</v>
      </c>
      <c r="AE64" s="3">
        <v>0.48327922000000001</v>
      </c>
      <c r="AF64" s="3">
        <v>-0.39680633799999998</v>
      </c>
      <c r="AG64" s="3">
        <v>-0.22752410100000001</v>
      </c>
      <c r="AH64" s="3">
        <v>-0.46362231700000001</v>
      </c>
      <c r="AI64" s="3">
        <v>0.19647808999999999</v>
      </c>
      <c r="AJ64" s="3">
        <v>4.8205792999999997E-2</v>
      </c>
      <c r="AK64" s="3">
        <f>AN64+AO64*$G64+AP64*$H64+AQ64*$I64</f>
        <v>0.61395780903868635</v>
      </c>
      <c r="AL64" s="3">
        <f>AK64*$B$162+$B$161</f>
        <v>14.433890843990401</v>
      </c>
      <c r="AM64" s="1">
        <v>0</v>
      </c>
      <c r="AN64" s="3">
        <v>-0.25974846699999998</v>
      </c>
      <c r="AO64" s="3">
        <v>-0.46703683299999998</v>
      </c>
      <c r="AP64" s="3">
        <v>9.7003433E-2</v>
      </c>
      <c r="AQ64" s="3">
        <v>7.0833077999999994E-2</v>
      </c>
    </row>
    <row r="65" spans="1:43" x14ac:dyDescent="0.3">
      <c r="A65" s="1">
        <v>13129</v>
      </c>
      <c r="B65" s="3">
        <v>9.1999999999999904</v>
      </c>
      <c r="C65" s="3">
        <v>79.7</v>
      </c>
      <c r="D65" s="3">
        <v>0.64</v>
      </c>
      <c r="E65" s="3">
        <v>3.78</v>
      </c>
      <c r="F65" s="3">
        <f>(B65-B$161)/B$162</f>
        <v>-0.30764966262749671</v>
      </c>
      <c r="G65" s="3">
        <f>(C65-C$161)/C$162</f>
        <v>0.35241424387624265</v>
      </c>
      <c r="H65" s="3">
        <f>(D65-D$161)/D$162</f>
        <v>-0.39851657494427073</v>
      </c>
      <c r="I65" s="3">
        <f>(E65-E$161)/E$162</f>
        <v>-1.3627484991830723</v>
      </c>
      <c r="J65" s="2">
        <v>695325.09999999905</v>
      </c>
      <c r="K65" s="1">
        <v>3822135</v>
      </c>
      <c r="L65" s="3">
        <f>O65+P65*$G65+Q65*$H65+R65*$I65</f>
        <v>-0.56510744421459247</v>
      </c>
      <c r="M65" s="3">
        <f>L65*$B$162+$B$161</f>
        <v>7.7378743476041674</v>
      </c>
      <c r="N65" s="1">
        <v>0</v>
      </c>
      <c r="O65" s="3">
        <v>-0.29754170299999999</v>
      </c>
      <c r="P65" s="3">
        <v>-0.36655891800000001</v>
      </c>
      <c r="Q65" s="3">
        <v>0.15384221300000001</v>
      </c>
      <c r="R65" s="3">
        <v>5.6559581999999997E-2</v>
      </c>
      <c r="S65" s="3">
        <f>V65+W65*$G65+X65*$H65+Y65*$I65</f>
        <v>-0.38595562637266789</v>
      </c>
      <c r="T65" s="3">
        <f>S65*$B$162+$B$161</f>
        <v>8.7552934635667157</v>
      </c>
      <c r="U65" s="1">
        <v>1</v>
      </c>
      <c r="V65" s="3">
        <v>-0.18342203200000001</v>
      </c>
      <c r="W65" s="3">
        <v>-0.17380490200000001</v>
      </c>
      <c r="X65" s="3">
        <v>0.64175570999999998</v>
      </c>
      <c r="Y65" s="3">
        <v>-8.3997902999999999E-2</v>
      </c>
      <c r="Z65" s="3">
        <f>AC65+AD65*$G65+AE65*$H65+AF65*$I65</f>
        <v>-0.40803735461906626</v>
      </c>
      <c r="AA65" s="3">
        <f>Z65*$B$162+$B$161</f>
        <v>8.6298893638371812</v>
      </c>
      <c r="AB65" s="1">
        <v>1</v>
      </c>
      <c r="AC65" s="3">
        <v>-0.27574183299999999</v>
      </c>
      <c r="AD65" s="3">
        <v>-0.23985341199999999</v>
      </c>
      <c r="AE65" s="3">
        <v>0.21363271</v>
      </c>
      <c r="AF65" s="3">
        <v>-2.7421357E-2</v>
      </c>
      <c r="AG65" s="3">
        <v>0.122801087</v>
      </c>
      <c r="AH65" s="3">
        <v>-0.26756677400000001</v>
      </c>
      <c r="AI65" s="3">
        <v>0.71997080599999996</v>
      </c>
      <c r="AJ65" s="3">
        <v>-4.5183058999999998E-2</v>
      </c>
      <c r="AK65" s="3">
        <f>AN65+AO65*$G65+AP65*$H65+AQ65*$I65</f>
        <v>-0.38343899850143637</v>
      </c>
      <c r="AL65" s="3">
        <f>AK65*$B$162+$B$161</f>
        <v>8.7695856171981923</v>
      </c>
      <c r="AM65" s="1">
        <v>2</v>
      </c>
      <c r="AN65" s="3">
        <v>7.5780177000000004E-2</v>
      </c>
      <c r="AO65" s="3">
        <v>-0.16857382100000001</v>
      </c>
      <c r="AP65" s="3">
        <v>0.83152748499999996</v>
      </c>
      <c r="AQ65" s="3">
        <v>5.0217537999999999E-2</v>
      </c>
    </row>
    <row r="66" spans="1:43" x14ac:dyDescent="0.3">
      <c r="A66" s="1">
        <v>13131</v>
      </c>
      <c r="B66" s="3">
        <v>7.7</v>
      </c>
      <c r="C66" s="3">
        <v>55.399999999999899</v>
      </c>
      <c r="D66" s="3">
        <v>0.74</v>
      </c>
      <c r="E66" s="3">
        <v>31.5</v>
      </c>
      <c r="F66" s="3">
        <f>(B66-B$161)/B$162</f>
        <v>-0.57177653280985052</v>
      </c>
      <c r="G66" s="3">
        <f>(C66-C$161)/C$162</f>
        <v>-0.54711863190141274</v>
      </c>
      <c r="H66" s="3">
        <f>(D66-D$161)/D$162</f>
        <v>-0.3173741297961864</v>
      </c>
      <c r="I66" s="3">
        <f>(E66-E$161)/E$162</f>
        <v>0.23701678260812387</v>
      </c>
      <c r="J66" s="2">
        <v>765058.09999999905</v>
      </c>
      <c r="K66" s="1">
        <v>3421817</v>
      </c>
      <c r="L66" s="3">
        <f>O66+P66*$G66+Q66*$H66+R66*$I66</f>
        <v>-0.13241045759807202</v>
      </c>
      <c r="M66" s="3">
        <f>L66*$B$162+$B$161</f>
        <v>10.195199039623096</v>
      </c>
      <c r="N66" s="1">
        <v>0</v>
      </c>
      <c r="O66" s="3">
        <v>-0.29754170299999999</v>
      </c>
      <c r="P66" s="3">
        <v>-0.36655891800000001</v>
      </c>
      <c r="Q66" s="3">
        <v>0.15384221300000001</v>
      </c>
      <c r="R66" s="3">
        <v>5.6559581999999997E-2</v>
      </c>
      <c r="S66" s="3">
        <f>V66+W66*$G66+X66*$H66+Y66*$I66</f>
        <v>-0.38269107546053338</v>
      </c>
      <c r="T66" s="3">
        <f>S66*$B$162+$B$161</f>
        <v>8.7738331387039743</v>
      </c>
      <c r="U66" s="1">
        <v>0</v>
      </c>
      <c r="V66" s="3">
        <v>-0.54906074100000002</v>
      </c>
      <c r="W66" s="3">
        <v>-0.34651111899999998</v>
      </c>
      <c r="X66" s="3">
        <v>0.18161730300000001</v>
      </c>
      <c r="Y66" s="3">
        <v>0.14525389</v>
      </c>
      <c r="Z66" s="3">
        <f>AC66+AD66*$G66+AE66*$H66+AF66*$I66</f>
        <v>-0.21881437961281391</v>
      </c>
      <c r="AA66" s="3">
        <f>Z66*$B$162+$B$161</f>
        <v>9.70450347755237</v>
      </c>
      <c r="AB66" s="1">
        <v>1</v>
      </c>
      <c r="AC66" s="3">
        <v>-0.27574183299999999</v>
      </c>
      <c r="AD66" s="3">
        <v>-0.23985341199999999</v>
      </c>
      <c r="AE66" s="3">
        <v>0.21363271</v>
      </c>
      <c r="AF66" s="3">
        <v>-2.7421357E-2</v>
      </c>
      <c r="AG66" s="3">
        <v>-0.27912421799999998</v>
      </c>
      <c r="AH66" s="3">
        <v>-0.37158091300000001</v>
      </c>
      <c r="AI66" s="3">
        <v>0.12682664199999999</v>
      </c>
      <c r="AJ66" s="3">
        <v>8.4756354000000006E-2</v>
      </c>
      <c r="AK66" s="3">
        <f>AN66+AO66*$G66+AP66*$H66+AQ66*$I66</f>
        <v>-1.8221665767298813E-2</v>
      </c>
      <c r="AL66" s="3">
        <f>AK66*$B$162+$B$161</f>
        <v>10.843687349910892</v>
      </c>
      <c r="AM66" s="1">
        <v>0</v>
      </c>
      <c r="AN66" s="3">
        <v>-0.25974846699999998</v>
      </c>
      <c r="AO66" s="3">
        <v>-0.46703683299999998</v>
      </c>
      <c r="AP66" s="3">
        <v>9.7003433E-2</v>
      </c>
      <c r="AQ66" s="3">
        <v>7.0833077999999994E-2</v>
      </c>
    </row>
    <row r="67" spans="1:43" x14ac:dyDescent="0.3">
      <c r="A67" s="1">
        <v>13133</v>
      </c>
      <c r="B67" s="3">
        <v>8.8000000000000007</v>
      </c>
      <c r="C67" s="3">
        <v>75.7</v>
      </c>
      <c r="D67" s="3">
        <v>0.5</v>
      </c>
      <c r="E67" s="3">
        <v>49.89</v>
      </c>
      <c r="F67" s="3">
        <f>(B67-B$161)/B$162</f>
        <v>-0.37808349467612307</v>
      </c>
      <c r="G67" s="3">
        <f>(C67-C$161)/C$162</f>
        <v>0.20434298860420125</v>
      </c>
      <c r="H67" s="3">
        <f>(D67-D$161)/D$162</f>
        <v>-0.51211599815158881</v>
      </c>
      <c r="I67" s="3">
        <f>(E67-E$161)/E$162</f>
        <v>1.2983329273462227</v>
      </c>
      <c r="J67" s="2">
        <v>855577.3</v>
      </c>
      <c r="K67" s="1">
        <v>3722330</v>
      </c>
      <c r="L67" s="3">
        <f>O67+P67*$G67+Q67*$H67+R67*$I67</f>
        <v>-0.26128447067276994</v>
      </c>
      <c r="M67" s="3">
        <f>L67*$B$162+$B$161</f>
        <v>9.4633120510763309</v>
      </c>
      <c r="N67" s="1">
        <v>1</v>
      </c>
      <c r="O67" s="3">
        <v>0.152735132</v>
      </c>
      <c r="P67" s="3">
        <v>-0.40878743200000001</v>
      </c>
      <c r="Q67" s="3">
        <v>0.37351620499999999</v>
      </c>
      <c r="R67" s="3">
        <v>-0.107216824</v>
      </c>
      <c r="S67" s="3">
        <f>V67+W67*$G67+X67*$H67+Y67*$I67</f>
        <v>-0.42601487353443429</v>
      </c>
      <c r="T67" s="3">
        <f>S67*$B$162+$B$161</f>
        <v>8.527793434125698</v>
      </c>
      <c r="U67" s="1">
        <v>3</v>
      </c>
      <c r="V67" s="3">
        <v>0.57876851500000004</v>
      </c>
      <c r="W67" s="3">
        <v>-0.118666143</v>
      </c>
      <c r="X67" s="3">
        <v>1.1943427209999999</v>
      </c>
      <c r="Y67" s="3">
        <v>-0.28412803199999997</v>
      </c>
      <c r="Z67" s="3">
        <f>AC67+AD67*$G67+AE67*$H67+AF67*$I67</f>
        <v>-0.32165308913205415</v>
      </c>
      <c r="AA67" s="3">
        <f>Z67*$B$162+$B$161</f>
        <v>9.1204732947377281</v>
      </c>
      <c r="AB67" s="1">
        <v>0</v>
      </c>
      <c r="AC67" s="3">
        <v>0.54283203499999999</v>
      </c>
      <c r="AD67" s="3">
        <v>-0.49819849599999999</v>
      </c>
      <c r="AE67" s="3">
        <v>0.48327922000000001</v>
      </c>
      <c r="AF67" s="3">
        <v>-0.39680633799999998</v>
      </c>
      <c r="AG67" s="3">
        <v>0.205243708</v>
      </c>
      <c r="AH67" s="3">
        <v>-0.288728665</v>
      </c>
      <c r="AI67" s="3">
        <v>0.71866796700000002</v>
      </c>
      <c r="AJ67" s="3">
        <v>-0.15216818500000001</v>
      </c>
      <c r="AK67" s="3">
        <f>AN67+AO67*$G67+AP67*$H67+AQ67*$I67</f>
        <v>-0.3193061462391647</v>
      </c>
      <c r="AL67" s="3">
        <f>AK67*$B$162+$B$161</f>
        <v>9.1338017922772003</v>
      </c>
      <c r="AM67" s="1">
        <v>2</v>
      </c>
      <c r="AN67" s="3">
        <v>7.5780177000000004E-2</v>
      </c>
      <c r="AO67" s="3">
        <v>-0.16857382100000001</v>
      </c>
      <c r="AP67" s="3">
        <v>0.83152748499999996</v>
      </c>
      <c r="AQ67" s="3">
        <v>5.0217537999999999E-2</v>
      </c>
    </row>
    <row r="68" spans="1:43" x14ac:dyDescent="0.3">
      <c r="A68" s="1">
        <v>13135</v>
      </c>
      <c r="B68" s="3">
        <v>29.6</v>
      </c>
      <c r="C68" s="3">
        <v>13.6</v>
      </c>
      <c r="D68" s="3">
        <v>5.05</v>
      </c>
      <c r="E68" s="3">
        <v>5.1100000000000003</v>
      </c>
      <c r="F68" s="3">
        <f>(B68-B$161)/B$162</f>
        <v>3.284475771852541</v>
      </c>
      <c r="G68" s="3">
        <f>(C68-C$161)/C$162</f>
        <v>-2.0944632494942415</v>
      </c>
      <c r="H68" s="3">
        <f>(D68-D$161)/D$162</f>
        <v>3.1798652560862499</v>
      </c>
      <c r="I68" s="3">
        <f>(E68-E$161)/E$162</f>
        <v>-1.2859920841476362</v>
      </c>
      <c r="J68" s="2">
        <v>772634.59999999905</v>
      </c>
      <c r="K68" s="1">
        <v>3764306</v>
      </c>
      <c r="L68" s="3">
        <f>O68+P68*$G68+Q68*$H68+R68*$I68</f>
        <v>3.6379234037621679</v>
      </c>
      <c r="M68" s="3">
        <f>L68*$B$162+$B$161</f>
        <v>31.607260554363158</v>
      </c>
      <c r="N68" s="1">
        <v>2</v>
      </c>
      <c r="O68" s="3">
        <v>0.94371922399999997</v>
      </c>
      <c r="P68" s="3">
        <v>-0.79405312100000003</v>
      </c>
      <c r="Q68" s="3">
        <v>0.26666736400000002</v>
      </c>
      <c r="R68" s="3">
        <v>-0.14239808800000001</v>
      </c>
      <c r="S68" s="3">
        <f>V68+W68*$G68+X68*$H68+Y68*$I68</f>
        <v>2.3293232712879122</v>
      </c>
      <c r="T68" s="3">
        <f>S68*$B$162+$B$161</f>
        <v>24.175603951776004</v>
      </c>
      <c r="U68" s="1">
        <v>1</v>
      </c>
      <c r="V68" s="3">
        <v>-0.18342203200000001</v>
      </c>
      <c r="W68" s="3">
        <v>-0.17380490200000001</v>
      </c>
      <c r="X68" s="3">
        <v>0.64175570999999998</v>
      </c>
      <c r="Y68" s="3">
        <v>-8.3997902999999999E-2</v>
      </c>
      <c r="Z68" s="3">
        <f>AC68+AD68*$G68+AE68*$H68+AF68*$I68</f>
        <v>3.6333430860993783</v>
      </c>
      <c r="AA68" s="3">
        <f>Z68*$B$162+$B$161</f>
        <v>31.581248522760916</v>
      </c>
      <c r="AB68" s="1">
        <v>0</v>
      </c>
      <c r="AC68" s="3">
        <v>0.54283203499999999</v>
      </c>
      <c r="AD68" s="3">
        <v>-0.49819849599999999</v>
      </c>
      <c r="AE68" s="3">
        <v>0.48327922000000001</v>
      </c>
      <c r="AF68" s="3">
        <v>-0.39680633799999998</v>
      </c>
      <c r="AG68" s="3">
        <v>0.151714826</v>
      </c>
      <c r="AH68" s="3">
        <v>-0.28543300199999999</v>
      </c>
      <c r="AI68" s="3">
        <v>0.71421679800000004</v>
      </c>
      <c r="AJ68" s="3">
        <v>-7.9610341000000001E-2</v>
      </c>
      <c r="AK68" s="3">
        <f>AN68+AO68*$G68+AP68*$H68+AQ68*$I68</f>
        <v>3.451824807984246</v>
      </c>
      <c r="AL68" s="3">
        <f>AK68*$B$162+$B$161</f>
        <v>30.550390068319253</v>
      </c>
      <c r="AM68" s="1">
        <v>4</v>
      </c>
      <c r="AN68" s="3">
        <v>0.61558443699999998</v>
      </c>
      <c r="AO68" s="3">
        <v>-0.957700683</v>
      </c>
      <c r="AP68" s="3">
        <v>0.17952755200000001</v>
      </c>
      <c r="AQ68" s="3">
        <v>-0.20178822599999999</v>
      </c>
    </row>
    <row r="69" spans="1:43" x14ac:dyDescent="0.3">
      <c r="A69" s="1">
        <v>13137</v>
      </c>
      <c r="B69" s="3">
        <v>12</v>
      </c>
      <c r="C69" s="3">
        <v>88.5</v>
      </c>
      <c r="D69" s="3">
        <v>2.92</v>
      </c>
      <c r="E69" s="3">
        <v>5.42</v>
      </c>
      <c r="F69" s="3">
        <f>(B69-B$161)/B$162</f>
        <v>0.18538716171290198</v>
      </c>
      <c r="G69" s="3">
        <f>(C69-C$161)/C$162</f>
        <v>0.67817100547473363</v>
      </c>
      <c r="H69" s="3">
        <f>(D69-D$161)/D$162</f>
        <v>1.4515311744320529</v>
      </c>
      <c r="I69" s="3">
        <f>(E69-E$161)/E$162</f>
        <v>-1.2681014911694517</v>
      </c>
      <c r="J69" s="2">
        <v>818917.09999999905</v>
      </c>
      <c r="K69" s="1">
        <v>3839931</v>
      </c>
      <c r="L69" s="3">
        <f>O69+P69*$G69+Q69*$H69+R69*$I69</f>
        <v>0.55363957832103183</v>
      </c>
      <c r="M69" s="3">
        <f>L69*$B$162+$B$161</f>
        <v>14.09133824412044</v>
      </c>
      <c r="N69" s="1">
        <v>1</v>
      </c>
      <c r="O69" s="3">
        <v>0.152735132</v>
      </c>
      <c r="P69" s="3">
        <v>-0.40878743200000001</v>
      </c>
      <c r="Q69" s="3">
        <v>0.37351620499999999</v>
      </c>
      <c r="R69" s="3">
        <v>-0.107216824</v>
      </c>
      <c r="S69" s="3">
        <f>V69+W69*$G69+X69*$H69+Y69*$I69</f>
        <v>0.73675480833840534</v>
      </c>
      <c r="T69" s="3">
        <f>S69*$B$162+$B$161</f>
        <v>15.131265930525172</v>
      </c>
      <c r="U69" s="1">
        <v>1</v>
      </c>
      <c r="V69" s="3">
        <v>-0.18342203200000001</v>
      </c>
      <c r="W69" s="3">
        <v>-0.17380490200000001</v>
      </c>
      <c r="X69" s="3">
        <v>0.64175570999999998</v>
      </c>
      <c r="Y69" s="3">
        <v>-8.3997902999999999E-2</v>
      </c>
      <c r="Z69" s="3">
        <f>AC69+AD69*$G69+AE69*$H69+AF69*$I69</f>
        <v>-9.3535860437593488E-2</v>
      </c>
      <c r="AA69" s="3">
        <f>Z69*$B$162+$B$161</f>
        <v>10.415971336286661</v>
      </c>
      <c r="AB69" s="1">
        <v>1</v>
      </c>
      <c r="AC69" s="3">
        <v>-0.27574183299999999</v>
      </c>
      <c r="AD69" s="3">
        <v>-0.23985341199999999</v>
      </c>
      <c r="AE69" s="3">
        <v>0.21363271</v>
      </c>
      <c r="AF69" s="3">
        <v>-2.7421357E-2</v>
      </c>
      <c r="AG69" s="3">
        <v>0.15619520000000001</v>
      </c>
      <c r="AH69" s="3">
        <v>-0.29739046499999999</v>
      </c>
      <c r="AI69" s="3">
        <v>0.72497850699999999</v>
      </c>
      <c r="AJ69" s="3">
        <v>-7.4162054000000005E-2</v>
      </c>
      <c r="AK69" s="3">
        <f>AN69+AO69*$G69+AP69*$H69+AQ69*$I69</f>
        <v>0.48257739055456061</v>
      </c>
      <c r="AL69" s="3">
        <f>AK69*$B$162+$B$161</f>
        <v>13.687769756082423</v>
      </c>
      <c r="AM69" s="1">
        <v>4</v>
      </c>
      <c r="AN69" s="3">
        <v>0.61558443699999998</v>
      </c>
      <c r="AO69" s="3">
        <v>-0.957700683</v>
      </c>
      <c r="AP69" s="3">
        <v>0.17952755200000001</v>
      </c>
      <c r="AQ69" s="3">
        <v>-0.20178822599999999</v>
      </c>
    </row>
    <row r="70" spans="1:43" x14ac:dyDescent="0.3">
      <c r="A70" s="1">
        <v>13139</v>
      </c>
      <c r="B70" s="3">
        <v>15.4</v>
      </c>
      <c r="C70" s="3">
        <v>81.099999999999895</v>
      </c>
      <c r="D70" s="3">
        <v>4.5999999999999996</v>
      </c>
      <c r="E70" s="3">
        <v>8.48</v>
      </c>
      <c r="F70" s="3">
        <f>(B70-B$161)/B$162</f>
        <v>0.78407473412624129</v>
      </c>
      <c r="G70" s="3">
        <f>(C70-C$161)/C$162</f>
        <v>0.40423918322145314</v>
      </c>
      <c r="H70" s="3">
        <f>(D70-D$161)/D$162</f>
        <v>2.8147242529198699</v>
      </c>
      <c r="I70" s="3">
        <f>(E70-E$161)/E$162</f>
        <v>-1.0915040249976964</v>
      </c>
      <c r="J70" s="2">
        <v>794419.5</v>
      </c>
      <c r="K70" s="1">
        <v>3803344</v>
      </c>
      <c r="L70" s="3">
        <f>O70+P70*$G70+Q70*$H70+R70*$I70</f>
        <v>1.1558599503926841</v>
      </c>
      <c r="M70" s="3">
        <f>L70*$B$162+$B$161</f>
        <v>17.511401327758279</v>
      </c>
      <c r="N70" s="1">
        <v>1</v>
      </c>
      <c r="O70" s="3">
        <v>0.152735132</v>
      </c>
      <c r="P70" s="3">
        <v>-0.40878743200000001</v>
      </c>
      <c r="Q70" s="3">
        <v>0.37351620499999999</v>
      </c>
      <c r="R70" s="3">
        <v>-0.107216824</v>
      </c>
      <c r="S70" s="3">
        <f>V70+W70*$G70+X70*$H70+Y70*$I70</f>
        <v>1.6443686269783122</v>
      </c>
      <c r="T70" s="3">
        <f>S70*$B$162+$B$161</f>
        <v>20.285685573706207</v>
      </c>
      <c r="U70" s="1">
        <v>1</v>
      </c>
      <c r="V70" s="3">
        <v>-0.18342203200000001</v>
      </c>
      <c r="W70" s="3">
        <v>-0.17380490200000001</v>
      </c>
      <c r="X70" s="3">
        <v>0.64175570999999998</v>
      </c>
      <c r="Y70" s="3">
        <v>-8.3997902999999999E-2</v>
      </c>
      <c r="Z70" s="3">
        <f>AC70+AD70*$G70+AE70*$H70+AF70*$I70</f>
        <v>2.1348541384325976</v>
      </c>
      <c r="AA70" s="3">
        <f>Z70*$B$162+$B$161</f>
        <v>23.071196440788661</v>
      </c>
      <c r="AB70" s="1">
        <v>0</v>
      </c>
      <c r="AC70" s="3">
        <v>0.54283203499999999</v>
      </c>
      <c r="AD70" s="3">
        <v>-0.49819849599999999</v>
      </c>
      <c r="AE70" s="3">
        <v>0.48327922000000001</v>
      </c>
      <c r="AF70" s="3">
        <v>-0.39680633799999998</v>
      </c>
      <c r="AG70" s="3">
        <v>0.15396195400000001</v>
      </c>
      <c r="AH70" s="3">
        <v>-0.29162096199999998</v>
      </c>
      <c r="AI70" s="3">
        <v>0.722592393</v>
      </c>
      <c r="AJ70" s="3">
        <v>-7.4946478999999996E-2</v>
      </c>
      <c r="AK70" s="3">
        <f>AN70+AO70*$G70+AP70*$H70+AQ70*$I70</f>
        <v>0.95401751069133001</v>
      </c>
      <c r="AL70" s="3">
        <f>AK70*$B$162+$B$161</f>
        <v>16.365120151053311</v>
      </c>
      <c r="AM70" s="1">
        <v>4</v>
      </c>
      <c r="AN70" s="3">
        <v>0.61558443699999998</v>
      </c>
      <c r="AO70" s="3">
        <v>-0.957700683</v>
      </c>
      <c r="AP70" s="3">
        <v>0.17952755200000001</v>
      </c>
      <c r="AQ70" s="3">
        <v>-0.20178822599999999</v>
      </c>
    </row>
    <row r="71" spans="1:43" x14ac:dyDescent="0.3">
      <c r="A71" s="1">
        <v>13141</v>
      </c>
      <c r="B71" s="3">
        <v>6.8</v>
      </c>
      <c r="C71" s="3">
        <v>100</v>
      </c>
      <c r="D71" s="3">
        <v>0.27</v>
      </c>
      <c r="E71" s="3">
        <v>79.64</v>
      </c>
      <c r="F71" s="3">
        <f>(B71-B$161)/B$162</f>
        <v>-0.73025265491926394</v>
      </c>
      <c r="G71" s="3">
        <f>(C71-C$161)/C$162</f>
        <v>1.1038758643818527</v>
      </c>
      <c r="H71" s="3">
        <f>(D71-D$161)/D$162</f>
        <v>-0.69874362199218287</v>
      </c>
      <c r="I71" s="3">
        <f>(E71-E$161)/E$162</f>
        <v>3.0152527373494005</v>
      </c>
      <c r="J71" s="2">
        <v>873518.8</v>
      </c>
      <c r="K71" s="1">
        <v>3689861</v>
      </c>
      <c r="L71" s="3">
        <f>O71+P71*$G71+Q71*$H71+R71*$I71</f>
        <v>-0.88279333585782149</v>
      </c>
      <c r="M71" s="3">
        <f>L71*$B$162+$B$161</f>
        <v>5.9337078985948564</v>
      </c>
      <c r="N71" s="1">
        <v>1</v>
      </c>
      <c r="O71" s="3">
        <v>0.152735132</v>
      </c>
      <c r="P71" s="3">
        <v>-0.40878743200000001</v>
      </c>
      <c r="Q71" s="3">
        <v>0.37351620499999999</v>
      </c>
      <c r="R71" s="3">
        <v>-0.107216824</v>
      </c>
      <c r="S71" s="3">
        <f>V71+W71*$G71+X71*$H71+Y71*$I71</f>
        <v>-0.53209435952118278</v>
      </c>
      <c r="T71" s="3">
        <f>S71*$B$162+$B$161</f>
        <v>7.92535859336048</v>
      </c>
      <c r="U71" s="1">
        <v>2</v>
      </c>
      <c r="V71" s="3">
        <v>-0.13655372900000001</v>
      </c>
      <c r="W71" s="3">
        <v>-0.53975352499999996</v>
      </c>
      <c r="X71" s="3">
        <v>6.0196410000000001E-3</v>
      </c>
      <c r="Y71" s="3">
        <v>6.7817348E-2</v>
      </c>
      <c r="Z71" s="3">
        <f>AC71+AD71*$G71+AE71*$H71+AF71*$I71</f>
        <v>-0.77246704081392747</v>
      </c>
      <c r="AA71" s="3">
        <f>Z71*$B$162+$B$161</f>
        <v>6.5602607459124567</v>
      </c>
      <c r="AB71" s="1">
        <v>1</v>
      </c>
      <c r="AC71" s="3">
        <v>-0.27574183299999999</v>
      </c>
      <c r="AD71" s="3">
        <v>-0.23985341199999999</v>
      </c>
      <c r="AE71" s="3">
        <v>0.21363271</v>
      </c>
      <c r="AF71" s="3">
        <v>-2.7421357E-2</v>
      </c>
      <c r="AG71" s="3">
        <v>0.20241749000000001</v>
      </c>
      <c r="AH71" s="3">
        <v>-0.24868451699999999</v>
      </c>
      <c r="AI71" s="3">
        <v>0.74111079700000004</v>
      </c>
      <c r="AJ71" s="3">
        <v>-0.168635067</v>
      </c>
      <c r="AK71" s="3">
        <f>AN71+AO71*$G71+AP71*$H71+AQ71*$I71</f>
        <v>-0.62950005251175034</v>
      </c>
      <c r="AL71" s="3">
        <f>AK71*$B$162+$B$161</f>
        <v>7.3721829948877584</v>
      </c>
      <c r="AM71" s="1">
        <v>0</v>
      </c>
      <c r="AN71" s="3">
        <v>-0.25974846699999998</v>
      </c>
      <c r="AO71" s="3">
        <v>-0.46703683299999998</v>
      </c>
      <c r="AP71" s="3">
        <v>9.7003433E-2</v>
      </c>
      <c r="AQ71" s="3">
        <v>7.0833077999999994E-2</v>
      </c>
    </row>
    <row r="72" spans="1:43" x14ac:dyDescent="0.3">
      <c r="A72" s="1">
        <v>13143</v>
      </c>
      <c r="B72" s="3">
        <v>7.5</v>
      </c>
      <c r="C72" s="3">
        <v>67.799999999999898</v>
      </c>
      <c r="D72" s="3">
        <v>0.69</v>
      </c>
      <c r="E72" s="3">
        <v>6.47</v>
      </c>
      <c r="F72" s="3">
        <f>(B72-B$161)/B$162</f>
        <v>-0.60699344883416462</v>
      </c>
      <c r="G72" s="3">
        <f>(C72-C$161)/C$162</f>
        <v>-8.8097740558084406E-2</v>
      </c>
      <c r="H72" s="3">
        <f>(D72-D$161)/D$162</f>
        <v>-0.35794535237022862</v>
      </c>
      <c r="I72" s="3">
        <f>(E72-E$161)/E$162</f>
        <v>-1.2075043214046337</v>
      </c>
      <c r="J72" s="2">
        <v>665933.80000000005</v>
      </c>
      <c r="K72" s="1">
        <v>3740622</v>
      </c>
      <c r="L72" s="3">
        <f>O72+P72*$G72+Q72*$H72+R72*$I72</f>
        <v>-0.38861173536632437</v>
      </c>
      <c r="M72" s="3">
        <f>L72*$B$162+$B$161</f>
        <v>8.7402091842287817</v>
      </c>
      <c r="N72" s="1">
        <v>0</v>
      </c>
      <c r="O72" s="3">
        <v>-0.29754170299999999</v>
      </c>
      <c r="P72" s="3">
        <v>-0.36655891800000001</v>
      </c>
      <c r="Q72" s="3">
        <v>0.15384221300000001</v>
      </c>
      <c r="R72" s="3">
        <v>5.6559581999999997E-2</v>
      </c>
      <c r="S72" s="3">
        <f>V72+W72*$G72+X72*$H72+Y72*$I72</f>
        <v>-0.29639585572600968</v>
      </c>
      <c r="T72" s="3">
        <f>S72*$B$162+$B$161</f>
        <v>9.2639113708520959</v>
      </c>
      <c r="U72" s="1">
        <v>1</v>
      </c>
      <c r="V72" s="3">
        <v>-0.18342203200000001</v>
      </c>
      <c r="W72" s="3">
        <v>-0.17380490200000001</v>
      </c>
      <c r="X72" s="3">
        <v>0.64175570999999998</v>
      </c>
      <c r="Y72" s="3">
        <v>-8.3997902999999999E-2</v>
      </c>
      <c r="Z72" s="3">
        <f>AC72+AD72*$G72+AE72*$H72+AF72*$I72</f>
        <v>-0.2979687179201303</v>
      </c>
      <c r="AA72" s="3">
        <f>Z72*$B$162+$B$161</f>
        <v>9.2549789464851546</v>
      </c>
      <c r="AB72" s="1">
        <v>1</v>
      </c>
      <c r="AC72" s="3">
        <v>-0.27574183299999999</v>
      </c>
      <c r="AD72" s="3">
        <v>-0.23985341199999999</v>
      </c>
      <c r="AE72" s="3">
        <v>0.21363271</v>
      </c>
      <c r="AF72" s="3">
        <v>-2.7421357E-2</v>
      </c>
      <c r="AG72" s="3">
        <v>0.111253343</v>
      </c>
      <c r="AH72" s="3">
        <v>-0.25912539400000001</v>
      </c>
      <c r="AI72" s="3">
        <v>0.69098384000000002</v>
      </c>
      <c r="AJ72" s="3">
        <v>-4.8777040000000001E-2</v>
      </c>
      <c r="AK72" s="3">
        <f>AN72+AO72*$G72+AP72*$H72+AQ72*$I72</f>
        <v>-0.26764814302181339</v>
      </c>
      <c r="AL72" s="3">
        <f>AK72*$B$162+$B$161</f>
        <v>9.4271721895129268</v>
      </c>
      <c r="AM72" s="1">
        <v>2</v>
      </c>
      <c r="AN72" s="3">
        <v>7.5780177000000004E-2</v>
      </c>
      <c r="AO72" s="3">
        <v>-0.16857382100000001</v>
      </c>
      <c r="AP72" s="3">
        <v>0.83152748499999996</v>
      </c>
      <c r="AQ72" s="3">
        <v>5.0217537999999999E-2</v>
      </c>
    </row>
    <row r="73" spans="1:43" x14ac:dyDescent="0.3">
      <c r="A73" s="1">
        <v>13145</v>
      </c>
      <c r="B73" s="3">
        <v>13.6</v>
      </c>
      <c r="C73" s="3">
        <v>95.799999999999898</v>
      </c>
      <c r="D73" s="3">
        <v>1.1100000000000001</v>
      </c>
      <c r="E73" s="3">
        <v>25.489999999999899</v>
      </c>
      <c r="F73" s="3">
        <f>(B73-B$161)/B$162</f>
        <v>0.46712248990741451</v>
      </c>
      <c r="G73" s="3">
        <f>(C73-C$161)/C$162</f>
        <v>0.94840104634620537</v>
      </c>
      <c r="H73" s="3">
        <f>(D73-D$161)/D$162</f>
        <v>-1.7147082748274107E-2</v>
      </c>
      <c r="I73" s="3">
        <f>(E73-E$161)/E$162</f>
        <v>-0.10982987480764997</v>
      </c>
      <c r="J73" s="2">
        <v>695500.59999999905</v>
      </c>
      <c r="K73" s="1">
        <v>3624790</v>
      </c>
      <c r="L73" s="3">
        <f>O73+P73*$G73+Q73*$H73+R73*$I73</f>
        <v>-0.65403644134545458</v>
      </c>
      <c r="M73" s="3">
        <f>L73*$B$162+$B$161</f>
        <v>7.2328386592465339</v>
      </c>
      <c r="N73" s="1">
        <v>0</v>
      </c>
      <c r="O73" s="3">
        <v>-0.29754170299999999</v>
      </c>
      <c r="P73" s="3">
        <v>-0.36655891800000001</v>
      </c>
      <c r="Q73" s="3">
        <v>0.15384221300000001</v>
      </c>
      <c r="R73" s="3">
        <v>5.6559581999999997E-2</v>
      </c>
      <c r="S73" s="3">
        <f>V73+W73*$G73+X73*$H73+Y73*$I73</f>
        <v>0.47695167353004975</v>
      </c>
      <c r="T73" s="3">
        <f>S73*$B$162+$B$161</f>
        <v>13.655820808476523</v>
      </c>
      <c r="U73" s="1">
        <v>3</v>
      </c>
      <c r="V73" s="3">
        <v>0.57876851500000004</v>
      </c>
      <c r="W73" s="3">
        <v>-0.118666143</v>
      </c>
      <c r="X73" s="3">
        <v>1.1943427209999999</v>
      </c>
      <c r="Y73" s="3">
        <v>-0.28412803199999997</v>
      </c>
      <c r="Z73" s="3">
        <f>AC73+AD73*$G73+AE73*$H73+AF73*$I73</f>
        <v>-0.50387055346024967</v>
      </c>
      <c r="AA73" s="3">
        <f>Z73*$B$162+$B$161</f>
        <v>8.0856440995725922</v>
      </c>
      <c r="AB73" s="1">
        <v>1</v>
      </c>
      <c r="AC73" s="3">
        <v>-0.27574183299999999</v>
      </c>
      <c r="AD73" s="3">
        <v>-0.23985341199999999</v>
      </c>
      <c r="AE73" s="3">
        <v>0.21363271</v>
      </c>
      <c r="AF73" s="3">
        <v>-2.7421357E-2</v>
      </c>
      <c r="AG73" s="3">
        <v>0.11129367599999999</v>
      </c>
      <c r="AH73" s="3">
        <v>-0.29876027100000002</v>
      </c>
      <c r="AI73" s="3">
        <v>0.49263032200000001</v>
      </c>
      <c r="AJ73" s="3">
        <v>-0.10679333100000001</v>
      </c>
      <c r="AK73" s="3">
        <f>AN73+AO73*$G73+AP73*$H73+AQ73*$I73</f>
        <v>-0.10386906772742557</v>
      </c>
      <c r="AL73" s="3">
        <f>AK73*$B$162+$B$161</f>
        <v>10.357288132551854</v>
      </c>
      <c r="AM73" s="1">
        <v>2</v>
      </c>
      <c r="AN73" s="3">
        <v>7.5780177000000004E-2</v>
      </c>
      <c r="AO73" s="3">
        <v>-0.16857382100000001</v>
      </c>
      <c r="AP73" s="3">
        <v>0.83152748499999996</v>
      </c>
      <c r="AQ73" s="3">
        <v>5.0217537999999999E-2</v>
      </c>
    </row>
    <row r="74" spans="1:43" x14ac:dyDescent="0.3">
      <c r="A74" s="1">
        <v>13147</v>
      </c>
      <c r="B74" s="3">
        <v>9.1</v>
      </c>
      <c r="C74" s="3">
        <v>73.799999999999898</v>
      </c>
      <c r="D74" s="3">
        <v>0.32</v>
      </c>
      <c r="E74" s="3">
        <v>20.41</v>
      </c>
      <c r="F74" s="3">
        <f>(B74-B$161)/B$162</f>
        <v>-0.32525812063965215</v>
      </c>
      <c r="G74" s="3">
        <f>(C74-C$161)/C$162</f>
        <v>0.13400914234997768</v>
      </c>
      <c r="H74" s="3">
        <f>(D74-D$161)/D$162</f>
        <v>-0.65817239941814065</v>
      </c>
      <c r="I74" s="3">
        <f>(E74-E$161)/E$162</f>
        <v>-0.40300475328885904</v>
      </c>
      <c r="J74" s="2">
        <v>870749.9</v>
      </c>
      <c r="K74" s="1">
        <v>3810303</v>
      </c>
      <c r="L74" s="3">
        <f>O74+P74*$G74+Q74*$H74+R74*$I74</f>
        <v>-0.10467528832764292</v>
      </c>
      <c r="M74" s="3">
        <f>L74*$B$162+$B$161</f>
        <v>10.352709534018917</v>
      </c>
      <c r="N74" s="1">
        <v>1</v>
      </c>
      <c r="O74" s="3">
        <v>0.152735132</v>
      </c>
      <c r="P74" s="3">
        <v>-0.40878743200000001</v>
      </c>
      <c r="Q74" s="3">
        <v>0.37351620499999999</v>
      </c>
      <c r="R74" s="3">
        <v>-0.107216824</v>
      </c>
      <c r="S74" s="3">
        <f>V74+W74*$G74+X74*$H74+Y74*$I74</f>
        <v>-0.59524781916893788</v>
      </c>
      <c r="T74" s="3">
        <f>S74*$B$162+$B$161</f>
        <v>7.5667044760939177</v>
      </c>
      <c r="U74" s="1">
        <v>1</v>
      </c>
      <c r="V74" s="3">
        <v>-0.18342203200000001</v>
      </c>
      <c r="W74" s="3">
        <v>-0.17380490200000001</v>
      </c>
      <c r="X74" s="3">
        <v>0.64175570999999998</v>
      </c>
      <c r="Y74" s="3">
        <v>-8.3997902999999999E-2</v>
      </c>
      <c r="Z74" s="3">
        <f>AC74+AD74*$G74+AE74*$H74+AF74*$I74</f>
        <v>-0.43744059915410494</v>
      </c>
      <c r="AA74" s="3">
        <f>Z74*$B$162+$B$161</f>
        <v>8.462905721574252</v>
      </c>
      <c r="AB74" s="1">
        <v>1</v>
      </c>
      <c r="AC74" s="3">
        <v>-0.27574183299999999</v>
      </c>
      <c r="AD74" s="3">
        <v>-0.23985341199999999</v>
      </c>
      <c r="AE74" s="3">
        <v>0.21363271</v>
      </c>
      <c r="AF74" s="3">
        <v>-2.7421357E-2</v>
      </c>
      <c r="AG74" s="3">
        <v>0.17690495000000001</v>
      </c>
      <c r="AH74" s="3">
        <v>-0.31520883300000002</v>
      </c>
      <c r="AI74" s="3">
        <v>0.71144295599999996</v>
      </c>
      <c r="AJ74" s="3">
        <v>-0.10650316</v>
      </c>
      <c r="AK74" s="3">
        <f>AN74+AO74*$G74+AP74*$H74+AQ74*$I74</f>
        <v>-0.51433660267191439</v>
      </c>
      <c r="AL74" s="3">
        <f>AK74*$B$162+$B$161</f>
        <v>8.0262064747423043</v>
      </c>
      <c r="AM74" s="1">
        <v>2</v>
      </c>
      <c r="AN74" s="3">
        <v>7.5780177000000004E-2</v>
      </c>
      <c r="AO74" s="3">
        <v>-0.16857382100000001</v>
      </c>
      <c r="AP74" s="3">
        <v>0.83152748499999996</v>
      </c>
      <c r="AQ74" s="3">
        <v>5.0217537999999999E-2</v>
      </c>
    </row>
    <row r="75" spans="1:43" x14ac:dyDescent="0.3">
      <c r="A75" s="1">
        <v>13149</v>
      </c>
      <c r="B75" s="3">
        <v>5.7</v>
      </c>
      <c r="C75" s="3">
        <v>100</v>
      </c>
      <c r="D75" s="3">
        <v>0.35</v>
      </c>
      <c r="E75" s="3">
        <v>13.38</v>
      </c>
      <c r="F75" s="3">
        <f>(B75-B$161)/B$162</f>
        <v>-0.92394569305299135</v>
      </c>
      <c r="G75" s="3">
        <f>(C75-C$161)/C$162</f>
        <v>1.1038758643818527</v>
      </c>
      <c r="H75" s="3">
        <f>(D75-D$161)/D$162</f>
        <v>-0.63382966587371548</v>
      </c>
      <c r="I75" s="3">
        <f>(E75-E$161)/E$162</f>
        <v>-0.80871723276187879</v>
      </c>
      <c r="J75" s="2">
        <v>675280.4</v>
      </c>
      <c r="K75" s="1">
        <v>3685569</v>
      </c>
      <c r="L75" s="3">
        <f>O75+P75*$G75+Q75*$H75+R75*$I75</f>
        <v>-0.84542771255839821</v>
      </c>
      <c r="M75" s="3">
        <f>L75*$B$162+$B$161</f>
        <v>6.1459105984202793</v>
      </c>
      <c r="N75" s="1">
        <v>0</v>
      </c>
      <c r="O75" s="3">
        <v>-0.29754170299999999</v>
      </c>
      <c r="P75" s="3">
        <v>-0.36655891800000001</v>
      </c>
      <c r="Q75" s="3">
        <v>0.15384221300000001</v>
      </c>
      <c r="R75" s="3">
        <v>5.6559581999999997E-2</v>
      </c>
      <c r="S75" s="3">
        <f>V75+W75*$G75+X75*$H75+Y75*$I75</f>
        <v>-0.71411432399894148</v>
      </c>
      <c r="T75" s="3">
        <f>S75*$B$162+$B$161</f>
        <v>6.891651017421176</v>
      </c>
      <c r="U75" s="1">
        <v>1</v>
      </c>
      <c r="V75" s="3">
        <v>-0.18342203200000001</v>
      </c>
      <c r="W75" s="3">
        <v>-0.17380490200000001</v>
      </c>
      <c r="X75" s="3">
        <v>0.64175570999999998</v>
      </c>
      <c r="Y75" s="3">
        <v>-8.3997902999999999E-2</v>
      </c>
      <c r="Z75" s="3">
        <f>AC75+AD75*$G75+AE75*$H75+AF75*$I75</f>
        <v>-0.65374085074381738</v>
      </c>
      <c r="AA75" s="3">
        <f>Z75*$B$162+$B$161</f>
        <v>7.2345173445773732</v>
      </c>
      <c r="AB75" s="1">
        <v>1</v>
      </c>
      <c r="AC75" s="3">
        <v>-0.27574183299999999</v>
      </c>
      <c r="AD75" s="3">
        <v>-0.23985341199999999</v>
      </c>
      <c r="AE75" s="3">
        <v>0.21363271</v>
      </c>
      <c r="AF75" s="3">
        <v>-2.7421357E-2</v>
      </c>
      <c r="AG75" s="3">
        <v>0.112684748</v>
      </c>
      <c r="AH75" s="3">
        <v>-0.26169479600000001</v>
      </c>
      <c r="AI75" s="3">
        <v>0.64234740700000004</v>
      </c>
      <c r="AJ75" s="3">
        <v>-6.7839967000000001E-2</v>
      </c>
      <c r="AK75" s="3">
        <f>AN75+AO75*$G75+AP75*$H75+AQ75*$I75</f>
        <v>-0.67796297171836206</v>
      </c>
      <c r="AL75" s="3">
        <f>AK75*$B$162+$B$161</f>
        <v>7.0969577640745181</v>
      </c>
      <c r="AM75" s="1">
        <v>2</v>
      </c>
      <c r="AN75" s="3">
        <v>7.5780177000000004E-2</v>
      </c>
      <c r="AO75" s="3">
        <v>-0.16857382100000001</v>
      </c>
      <c r="AP75" s="3">
        <v>0.83152748499999996</v>
      </c>
      <c r="AQ75" s="3">
        <v>5.0217537999999999E-2</v>
      </c>
    </row>
    <row r="76" spans="1:43" x14ac:dyDescent="0.3">
      <c r="A76" s="1">
        <v>13151</v>
      </c>
      <c r="B76" s="3">
        <v>10.6999999999999</v>
      </c>
      <c r="C76" s="3">
        <v>76</v>
      </c>
      <c r="D76" s="3">
        <v>0.98</v>
      </c>
      <c r="E76" s="3">
        <v>10.24</v>
      </c>
      <c r="F76" s="3">
        <f>(B76-B$161)/B$162</f>
        <v>-4.3522792445157145E-2</v>
      </c>
      <c r="G76" s="3">
        <f>(C76-C$161)/C$162</f>
        <v>0.21544833274960423</v>
      </c>
      <c r="H76" s="3">
        <f>(D76-D$161)/D$162</f>
        <v>-0.12263226144078389</v>
      </c>
      <c r="I76" s="3">
        <f>(E76-E$161)/E$162</f>
        <v>-0.98993162615381081</v>
      </c>
      <c r="J76" s="2">
        <v>763488.4</v>
      </c>
      <c r="K76" s="1">
        <v>3699716</v>
      </c>
      <c r="L76" s="3">
        <f>O76+P76*$G76+Q76*$H76+R76*$I76</f>
        <v>-0.45137234820668348</v>
      </c>
      <c r="M76" s="3">
        <f>L76*$B$162+$B$161</f>
        <v>8.3837860789402399</v>
      </c>
      <c r="N76" s="1">
        <v>0</v>
      </c>
      <c r="O76" s="3">
        <v>-0.29754170299999999</v>
      </c>
      <c r="P76" s="3">
        <v>-0.36655891800000001</v>
      </c>
      <c r="Q76" s="3">
        <v>0.15384221300000001</v>
      </c>
      <c r="R76" s="3">
        <v>5.6559581999999997E-2</v>
      </c>
      <c r="S76" s="3">
        <f>V76+W76*$G76+X76*$H76+Y76*$I76</f>
        <v>0.68800446827889661</v>
      </c>
      <c r="T76" s="3">
        <f>S76*$B$162+$B$161</f>
        <v>14.854408411111201</v>
      </c>
      <c r="U76" s="1">
        <v>3</v>
      </c>
      <c r="V76" s="3">
        <v>0.57876851500000004</v>
      </c>
      <c r="W76" s="3">
        <v>-0.118666143</v>
      </c>
      <c r="X76" s="3">
        <v>1.1943427209999999</v>
      </c>
      <c r="Y76" s="3">
        <v>-0.28412803199999997</v>
      </c>
      <c r="Z76" s="3">
        <f>AC76+AD76*$G76+AE76*$H76+AF76*$I76</f>
        <v>-0.32647084453837288</v>
      </c>
      <c r="AA76" s="3">
        <f>Z76*$B$162+$B$161</f>
        <v>9.0931128330607738</v>
      </c>
      <c r="AB76" s="1">
        <v>1</v>
      </c>
      <c r="AC76" s="3">
        <v>-0.27574183299999999</v>
      </c>
      <c r="AD76" s="3">
        <v>-0.23985341199999999</v>
      </c>
      <c r="AE76" s="3">
        <v>0.21363271</v>
      </c>
      <c r="AF76" s="3">
        <v>-2.7421357E-2</v>
      </c>
      <c r="AG76" s="3">
        <v>0.17041468500000001</v>
      </c>
      <c r="AH76" s="3">
        <v>-0.27530607000000001</v>
      </c>
      <c r="AI76" s="3">
        <v>0.68490738299999998</v>
      </c>
      <c r="AJ76" s="3">
        <v>-0.119518634</v>
      </c>
      <c r="AK76" s="3">
        <f>AN76+AO76*$G76+AP76*$H76+AQ76*$I76</f>
        <v>-0.11222279666917852</v>
      </c>
      <c r="AL76" s="3">
        <f>AK76*$B$162+$B$161</f>
        <v>10.309846562506451</v>
      </c>
      <c r="AM76" s="1">
        <v>2</v>
      </c>
      <c r="AN76" s="3">
        <v>7.5780177000000004E-2</v>
      </c>
      <c r="AO76" s="3">
        <v>-0.16857382100000001</v>
      </c>
      <c r="AP76" s="3">
        <v>0.83152748499999996</v>
      </c>
      <c r="AQ76" s="3">
        <v>5.0217537999999999E-2</v>
      </c>
    </row>
    <row r="77" spans="1:43" x14ac:dyDescent="0.3">
      <c r="A77" s="1">
        <v>13153</v>
      </c>
      <c r="B77" s="3">
        <v>16</v>
      </c>
      <c r="C77" s="3">
        <v>20.899999999999899</v>
      </c>
      <c r="D77" s="3">
        <v>2.25</v>
      </c>
      <c r="E77" s="3">
        <v>21.8</v>
      </c>
      <c r="F77" s="3">
        <f>(B77-B$161)/B$162</f>
        <v>0.88972548219918346</v>
      </c>
      <c r="G77" s="3">
        <f>(C77-C$161)/C$162</f>
        <v>-1.8242332086227697</v>
      </c>
      <c r="H77" s="3">
        <f>(D77-D$161)/D$162</f>
        <v>0.90787679193988768</v>
      </c>
      <c r="I77" s="3">
        <f>(E77-E$161)/E$162</f>
        <v>-0.32278564283829037</v>
      </c>
      <c r="J77" s="2">
        <v>814118.9</v>
      </c>
      <c r="K77" s="1">
        <v>3590553</v>
      </c>
      <c r="L77" s="3">
        <f>O77+P77*$G77+Q77*$H77+R77*$I77</f>
        <v>0.49256040190126865</v>
      </c>
      <c r="M77" s="3">
        <f>L77*$B$162+$B$161</f>
        <v>13.744464165892843</v>
      </c>
      <c r="N77" s="1">
        <v>0</v>
      </c>
      <c r="O77" s="3">
        <v>-0.29754170299999999</v>
      </c>
      <c r="P77" s="3">
        <v>-0.36655891800000001</v>
      </c>
      <c r="Q77" s="3">
        <v>0.15384221300000001</v>
      </c>
      <c r="R77" s="3">
        <v>5.6559581999999997E-2</v>
      </c>
      <c r="S77" s="3">
        <f>V77+W77*$G77+X77*$H77+Y77*$I77</f>
        <v>0.831657201866142</v>
      </c>
      <c r="T77" s="3">
        <f>S77*$B$162+$B$161</f>
        <v>15.6702250685838</v>
      </c>
      <c r="U77" s="1">
        <v>2</v>
      </c>
      <c r="V77" s="3">
        <v>-0.13655372900000001</v>
      </c>
      <c r="W77" s="3">
        <v>-0.53975352499999996</v>
      </c>
      <c r="X77" s="3">
        <v>6.0196410000000001E-3</v>
      </c>
      <c r="Y77" s="3">
        <v>6.7817348E-2</v>
      </c>
      <c r="Z77" s="3">
        <f>AC77+AD77*$G77+AE77*$H77+AF77*$I77</f>
        <v>0.36461012612684673</v>
      </c>
      <c r="AA77" s="3">
        <f>Z77*$B$162+$B$161</f>
        <v>13.017823163676272</v>
      </c>
      <c r="AB77" s="1">
        <v>1</v>
      </c>
      <c r="AC77" s="3">
        <v>-0.27574183299999999</v>
      </c>
      <c r="AD77" s="3">
        <v>-0.23985341199999999</v>
      </c>
      <c r="AE77" s="3">
        <v>0.21363271</v>
      </c>
      <c r="AF77" s="3">
        <v>-2.7421357E-2</v>
      </c>
      <c r="AG77" s="3">
        <v>-3.7646648999999997E-2</v>
      </c>
      <c r="AH77" s="3">
        <v>-0.308521182</v>
      </c>
      <c r="AI77" s="3">
        <v>0.39609692699999999</v>
      </c>
      <c r="AJ77" s="3">
        <v>-4.8194603000000003E-2</v>
      </c>
      <c r="AK77" s="3">
        <f>AN77+AO77*$G77+AP77*$H77+AQ77*$I77</f>
        <v>0.65743889835135771</v>
      </c>
      <c r="AL77" s="3">
        <f>AK77*$B$162+$B$161</f>
        <v>14.680823819510755</v>
      </c>
      <c r="AM77" s="1">
        <v>0</v>
      </c>
      <c r="AN77" s="3">
        <v>-0.25974846699999998</v>
      </c>
      <c r="AO77" s="3">
        <v>-0.46703683299999998</v>
      </c>
      <c r="AP77" s="3">
        <v>9.7003433E-2</v>
      </c>
      <c r="AQ77" s="3">
        <v>7.0833077999999994E-2</v>
      </c>
    </row>
    <row r="78" spans="1:43" x14ac:dyDescent="0.3">
      <c r="A78" s="1">
        <v>13155</v>
      </c>
      <c r="B78" s="3">
        <v>8.3000000000000007</v>
      </c>
      <c r="C78" s="3">
        <v>63.399999999999899</v>
      </c>
      <c r="D78" s="3">
        <v>0.15</v>
      </c>
      <c r="E78" s="3">
        <v>30.5</v>
      </c>
      <c r="F78" s="3">
        <f>(B78-B$161)/B$162</f>
        <v>-0.46612578473690824</v>
      </c>
      <c r="G78" s="3">
        <f>(C78-C$161)/C$162</f>
        <v>-0.25097612135732988</v>
      </c>
      <c r="H78" s="3">
        <f>(D78-D$161)/D$162</f>
        <v>-0.79611455616988414</v>
      </c>
      <c r="I78" s="3">
        <f>(E78-E$161)/E$162</f>
        <v>0.17930519235591622</v>
      </c>
      <c r="J78" s="2">
        <v>855461.8</v>
      </c>
      <c r="K78" s="1">
        <v>3506293</v>
      </c>
      <c r="L78" s="3">
        <f>O78+P78*$G78+Q78*$H78+R78*$I78</f>
        <v>-0.31787876590402803</v>
      </c>
      <c r="M78" s="3">
        <f>L78*$B$162+$B$161</f>
        <v>9.141908012220771</v>
      </c>
      <c r="N78" s="1">
        <v>0</v>
      </c>
      <c r="O78" s="3">
        <v>-0.29754170299999999</v>
      </c>
      <c r="P78" s="3">
        <v>-0.36655891800000001</v>
      </c>
      <c r="Q78" s="3">
        <v>0.15384221300000001</v>
      </c>
      <c r="R78" s="3">
        <v>5.6559581999999997E-2</v>
      </c>
      <c r="S78" s="3">
        <f>V78+W78*$G78+X78*$H78+Y78*$I78</f>
        <v>-0.58063812622991318</v>
      </c>
      <c r="T78" s="3">
        <f>S78*$B$162+$B$161</f>
        <v>7.6496742223882155</v>
      </c>
      <c r="U78" s="1">
        <v>0</v>
      </c>
      <c r="V78" s="3">
        <v>-0.54906074100000002</v>
      </c>
      <c r="W78" s="3">
        <v>-0.34651111899999998</v>
      </c>
      <c r="X78" s="3">
        <v>0.18161730300000001</v>
      </c>
      <c r="Y78" s="3">
        <v>0.14525389</v>
      </c>
      <c r="Z78" s="3">
        <f>AC78+AD78*$G78+AE78*$H78+AF78*$I78</f>
        <v>-0.39053725575848319</v>
      </c>
      <c r="AA78" s="3">
        <f>Z78*$B$162+$B$161</f>
        <v>8.7292739825726819</v>
      </c>
      <c r="AB78" s="1">
        <v>1</v>
      </c>
      <c r="AC78" s="3">
        <v>-0.27574183299999999</v>
      </c>
      <c r="AD78" s="3">
        <v>-0.23985341199999999</v>
      </c>
      <c r="AE78" s="3">
        <v>0.21363271</v>
      </c>
      <c r="AF78" s="3">
        <v>-2.7421357E-2</v>
      </c>
      <c r="AG78" s="3">
        <v>-0.27680459000000002</v>
      </c>
      <c r="AH78" s="3">
        <v>-0.37527399500000003</v>
      </c>
      <c r="AI78" s="3">
        <v>0.187337159</v>
      </c>
      <c r="AJ78" s="3">
        <v>9.7254035000000003E-2</v>
      </c>
      <c r="AK78" s="3">
        <f>AN78+AO78*$G78+AP78*$H78+AQ78*$I78</f>
        <v>-0.20705848045644748</v>
      </c>
      <c r="AL78" s="3">
        <f>AK78*$B$162+$B$161</f>
        <v>9.7712662750003361</v>
      </c>
      <c r="AM78" s="1">
        <v>0</v>
      </c>
      <c r="AN78" s="3">
        <v>-0.25974846699999998</v>
      </c>
      <c r="AO78" s="3">
        <v>-0.46703683299999998</v>
      </c>
      <c r="AP78" s="3">
        <v>9.7003433E-2</v>
      </c>
      <c r="AQ78" s="3">
        <v>7.0833077999999994E-2</v>
      </c>
    </row>
    <row r="79" spans="1:43" x14ac:dyDescent="0.3">
      <c r="A79" s="1">
        <v>13157</v>
      </c>
      <c r="B79" s="3">
        <v>9</v>
      </c>
      <c r="C79" s="3">
        <v>78</v>
      </c>
      <c r="D79" s="3">
        <v>0.62</v>
      </c>
      <c r="E79" s="3">
        <v>9.58</v>
      </c>
      <c r="F79" s="3">
        <f>(B79-B$161)/B$162</f>
        <v>-0.34286657865180914</v>
      </c>
      <c r="G79" s="3">
        <f>(C79-C$161)/C$162</f>
        <v>0.28948396038562496</v>
      </c>
      <c r="H79" s="3">
        <f>(D79-D$161)/D$162</f>
        <v>-0.41474506397388761</v>
      </c>
      <c r="I79" s="3">
        <f>(E79-E$161)/E$162</f>
        <v>-1.028021275720268</v>
      </c>
      <c r="J79" s="2">
        <v>815753.09999999905</v>
      </c>
      <c r="K79" s="1">
        <v>3783949</v>
      </c>
      <c r="L79" s="3">
        <f>O79+P79*$G79+Q79*$H79+R79*$I79</f>
        <v>-1.0295098922082649E-2</v>
      </c>
      <c r="M79" s="3">
        <f>L79*$B$162+$B$161</f>
        <v>10.888703028397581</v>
      </c>
      <c r="N79" s="1">
        <v>1</v>
      </c>
      <c r="O79" s="3">
        <v>0.152735132</v>
      </c>
      <c r="P79" s="3">
        <v>-0.40878743200000001</v>
      </c>
      <c r="Q79" s="3">
        <v>0.37351620499999999</v>
      </c>
      <c r="R79" s="3">
        <v>-0.107216824</v>
      </c>
      <c r="S79" s="3">
        <f>V79+W79*$G79+X79*$H79+Y79*$I79</f>
        <v>-0.41354914496506578</v>
      </c>
      <c r="T79" s="3">
        <f>S79*$B$162+$B$161</f>
        <v>8.598587415976704</v>
      </c>
      <c r="U79" s="1">
        <v>1</v>
      </c>
      <c r="V79" s="3">
        <v>-0.18342203200000001</v>
      </c>
      <c r="W79" s="3">
        <v>-0.17380490200000001</v>
      </c>
      <c r="X79" s="3">
        <v>0.64175570999999998</v>
      </c>
      <c r="Y79" s="3">
        <v>-8.3997902999999999E-2</v>
      </c>
      <c r="Z79" s="3">
        <f>AC79+AD79*$G79+AE79*$H79+AF79*$I79</f>
        <v>-0.40558892218850912</v>
      </c>
      <c r="AA79" s="3">
        <f>Z79*$B$162+$B$161</f>
        <v>8.6437942294924639</v>
      </c>
      <c r="AB79" s="1">
        <v>1</v>
      </c>
      <c r="AC79" s="3">
        <v>-0.27574183299999999</v>
      </c>
      <c r="AD79" s="3">
        <v>-0.23985341199999999</v>
      </c>
      <c r="AE79" s="3">
        <v>0.21363271</v>
      </c>
      <c r="AF79" s="3">
        <v>-2.7421357E-2</v>
      </c>
      <c r="AG79" s="3">
        <v>0.16872317000000001</v>
      </c>
      <c r="AH79" s="3">
        <v>-0.30129356899999998</v>
      </c>
      <c r="AI79" s="3">
        <v>0.71919458700000005</v>
      </c>
      <c r="AJ79" s="3">
        <v>-9.2004715000000001E-2</v>
      </c>
      <c r="AK79" s="3">
        <f>AN79+AO79*$G79+AP79*$H79+AQ79*$I79</f>
        <v>-0.36951585776107926</v>
      </c>
      <c r="AL79" s="3">
        <f>AK79*$B$162+$B$161</f>
        <v>8.8486563724610576</v>
      </c>
      <c r="AM79" s="1">
        <v>2</v>
      </c>
      <c r="AN79" s="3">
        <v>7.5780177000000004E-2</v>
      </c>
      <c r="AO79" s="3">
        <v>-0.16857382100000001</v>
      </c>
      <c r="AP79" s="3">
        <v>0.83152748499999996</v>
      </c>
      <c r="AQ79" s="3">
        <v>5.0217537999999999E-2</v>
      </c>
    </row>
    <row r="80" spans="1:43" x14ac:dyDescent="0.3">
      <c r="A80" s="1">
        <v>13159</v>
      </c>
      <c r="B80" s="3">
        <v>10.8</v>
      </c>
      <c r="C80" s="3">
        <v>100</v>
      </c>
      <c r="D80" s="3">
        <v>0.99</v>
      </c>
      <c r="E80" s="3">
        <v>34.799999999999898</v>
      </c>
      <c r="F80" s="3">
        <f>(B80-B$161)/B$162</f>
        <v>-2.5914334432982342E-2</v>
      </c>
      <c r="G80" s="3">
        <f>(C80-C$161)/C$162</f>
        <v>1.1038758643818527</v>
      </c>
      <c r="H80" s="3">
        <f>(D80-D$161)/D$162</f>
        <v>-0.11451801692597544</v>
      </c>
      <c r="I80" s="3">
        <f>(E80-E$161)/E$162</f>
        <v>0.42746503044040324</v>
      </c>
      <c r="J80" s="2">
        <v>807249.09999999905</v>
      </c>
      <c r="K80" s="1">
        <v>3695092</v>
      </c>
      <c r="L80" s="3">
        <f>O80+P80*$G80+Q80*$H80+R80*$I80</f>
        <v>-0.38712122586863729</v>
      </c>
      <c r="M80" s="3">
        <f>L80*$B$162+$B$161</f>
        <v>8.7486739203042401</v>
      </c>
      <c r="N80" s="1">
        <v>1</v>
      </c>
      <c r="O80" s="3">
        <v>0.152735132</v>
      </c>
      <c r="P80" s="3">
        <v>-0.40878743200000001</v>
      </c>
      <c r="Q80" s="3">
        <v>0.37351620499999999</v>
      </c>
      <c r="R80" s="3">
        <v>-0.107216824</v>
      </c>
      <c r="S80" s="3">
        <f>V80+W80*$G80+X80*$H80+Y80*$I80</f>
        <v>0.18954726603626915</v>
      </c>
      <c r="T80" s="3">
        <f>S80*$B$162+$B$161</f>
        <v>12.023625602653537</v>
      </c>
      <c r="U80" s="1">
        <v>3</v>
      </c>
      <c r="V80" s="3">
        <v>0.57876851500000004</v>
      </c>
      <c r="W80" s="3">
        <v>-0.118666143</v>
      </c>
      <c r="X80" s="3">
        <v>1.1943427209999999</v>
      </c>
      <c r="Y80" s="3">
        <v>-0.28412803199999997</v>
      </c>
      <c r="Z80" s="3">
        <f>AC80+AD80*$G80+AE80*$H80+AF80*$I80</f>
        <v>-0.57669669100088083</v>
      </c>
      <c r="AA80" s="3">
        <f>Z80*$B$162+$B$161</f>
        <v>7.672057983796007</v>
      </c>
      <c r="AB80" s="1">
        <v>1</v>
      </c>
      <c r="AC80" s="3">
        <v>-0.27574183299999999</v>
      </c>
      <c r="AD80" s="3">
        <v>-0.23985341199999999</v>
      </c>
      <c r="AE80" s="3">
        <v>0.21363271</v>
      </c>
      <c r="AF80" s="3">
        <v>-2.7421357E-2</v>
      </c>
      <c r="AG80" s="3">
        <v>0.199883264</v>
      </c>
      <c r="AH80" s="3">
        <v>-0.27317998300000002</v>
      </c>
      <c r="AI80" s="3">
        <v>0.70076237100000005</v>
      </c>
      <c r="AJ80" s="3">
        <v>-0.15087661099999999</v>
      </c>
      <c r="AK80" s="3">
        <f>AN80+AO80*$G80+AP80*$H80+AQ80*$I80</f>
        <v>-0.18406303256035839</v>
      </c>
      <c r="AL80" s="3">
        <f>AK80*$B$162+$B$161</f>
        <v>9.901859469930935</v>
      </c>
      <c r="AM80" s="1">
        <v>2</v>
      </c>
      <c r="AN80" s="3">
        <v>7.5780177000000004E-2</v>
      </c>
      <c r="AO80" s="3">
        <v>-0.16857382100000001</v>
      </c>
      <c r="AP80" s="3">
        <v>0.83152748499999996</v>
      </c>
      <c r="AQ80" s="3">
        <v>5.0217537999999999E-2</v>
      </c>
    </row>
    <row r="81" spans="1:43" x14ac:dyDescent="0.3">
      <c r="A81" s="1">
        <v>13161</v>
      </c>
      <c r="B81" s="3">
        <v>8.3000000000000007</v>
      </c>
      <c r="C81" s="3">
        <v>65.099999999999895</v>
      </c>
      <c r="D81" s="3">
        <v>0.64</v>
      </c>
      <c r="E81" s="3">
        <v>15.3599999999999</v>
      </c>
      <c r="F81" s="3">
        <f>(B81-B$161)/B$162</f>
        <v>-0.46612578473690824</v>
      </c>
      <c r="G81" s="3">
        <f>(C81-C$161)/C$162</f>
        <v>-0.18804583786671247</v>
      </c>
      <c r="H81" s="3">
        <f>(D81-D$161)/D$162</f>
        <v>-0.39851657494427073</v>
      </c>
      <c r="I81" s="3">
        <f>(E81-E$161)/E$162</f>
        <v>-0.69444828406251347</v>
      </c>
      <c r="J81" s="2">
        <v>915741.9</v>
      </c>
      <c r="K81" s="1">
        <v>3530869</v>
      </c>
      <c r="L81" s="3">
        <f>O81+P81*$G81+Q81*$H81+R81*$I81</f>
        <v>-0.32919820061097438</v>
      </c>
      <c r="M81" s="3">
        <f>L81*$B$162+$B$161</f>
        <v>9.0776239352213466</v>
      </c>
      <c r="N81" s="1">
        <v>0</v>
      </c>
      <c r="O81" s="3">
        <v>-0.29754170299999999</v>
      </c>
      <c r="P81" s="3">
        <v>-0.36655891800000001</v>
      </c>
      <c r="Q81" s="3">
        <v>0.15384221300000001</v>
      </c>
      <c r="R81" s="3">
        <v>5.6559581999999997E-2</v>
      </c>
      <c r="S81" s="3">
        <f>V81+W81*$G81+X81*$H81+Y81*$I81</f>
        <v>-0.65714958750359387</v>
      </c>
      <c r="T81" s="3">
        <f>S81*$B$162+$B$161</f>
        <v>7.2151588251804846</v>
      </c>
      <c r="U81" s="1">
        <v>0</v>
      </c>
      <c r="V81" s="3">
        <v>-0.54906074100000002</v>
      </c>
      <c r="W81" s="3">
        <v>-0.34651111899999998</v>
      </c>
      <c r="X81" s="3">
        <v>0.18161730300000001</v>
      </c>
      <c r="Y81" s="3">
        <v>0.14525389</v>
      </c>
      <c r="Z81" s="3">
        <f>AC81+AD81*$G81+AE81*$H81+AF81*$I81</f>
        <v>-0.29673185874521729</v>
      </c>
      <c r="AA81" s="3">
        <f>Z81*$B$162+$B$161</f>
        <v>9.262003179805637</v>
      </c>
      <c r="AB81" s="1">
        <v>1</v>
      </c>
      <c r="AC81" s="3">
        <v>-0.27574183299999999</v>
      </c>
      <c r="AD81" s="3">
        <v>-0.23985341199999999</v>
      </c>
      <c r="AE81" s="3">
        <v>0.21363271</v>
      </c>
      <c r="AF81" s="3">
        <v>-2.7421357E-2</v>
      </c>
      <c r="AG81" s="3">
        <v>-0.23894638400000001</v>
      </c>
      <c r="AH81" s="3">
        <v>-0.40783455600000001</v>
      </c>
      <c r="AI81" s="3">
        <v>0.23617812099999999</v>
      </c>
      <c r="AJ81" s="3">
        <v>6.6424627999999999E-2</v>
      </c>
      <c r="AK81" s="3">
        <f>AN81+AO81*$G81+AP81*$H81+AQ81*$I81</f>
        <v>-0.25977151977286134</v>
      </c>
      <c r="AL81" s="3">
        <f>AK81*$B$162+$B$161</f>
        <v>9.4719042338720296</v>
      </c>
      <c r="AM81" s="1">
        <v>0</v>
      </c>
      <c r="AN81" s="3">
        <v>-0.25974846699999998</v>
      </c>
      <c r="AO81" s="3">
        <v>-0.46703683299999998</v>
      </c>
      <c r="AP81" s="3">
        <v>9.7003433E-2</v>
      </c>
      <c r="AQ81" s="3">
        <v>7.0833077999999994E-2</v>
      </c>
    </row>
    <row r="82" spans="1:43" x14ac:dyDescent="0.3">
      <c r="A82" s="1">
        <v>13163</v>
      </c>
      <c r="B82" s="3">
        <v>6.2</v>
      </c>
      <c r="C82" s="3">
        <v>100</v>
      </c>
      <c r="D82" s="3">
        <v>0.4</v>
      </c>
      <c r="E82" s="3">
        <v>55.92</v>
      </c>
      <c r="F82" s="3">
        <f>(B82-B$161)/B$162</f>
        <v>-0.83590340299220611</v>
      </c>
      <c r="G82" s="3">
        <f>(C82-C$161)/C$162</f>
        <v>1.1038758643818527</v>
      </c>
      <c r="H82" s="3">
        <f>(D82-D$161)/D$162</f>
        <v>-0.59325844329967325</v>
      </c>
      <c r="I82" s="3">
        <f>(E82-E$161)/E$162</f>
        <v>1.6463338165670349</v>
      </c>
      <c r="J82" s="2">
        <v>924108.09999999905</v>
      </c>
      <c r="K82" s="1">
        <v>3668080</v>
      </c>
      <c r="L82" s="3">
        <f>O82+P82*$G82+Q82*$H82+R82*$I82</f>
        <v>-0.6966217732290555</v>
      </c>
      <c r="M82" s="3">
        <f>L82*$B$162+$B$161</f>
        <v>6.9909927698779155</v>
      </c>
      <c r="N82" s="1">
        <v>1</v>
      </c>
      <c r="O82" s="3">
        <v>0.152735132</v>
      </c>
      <c r="P82" s="3">
        <v>-0.40878743200000001</v>
      </c>
      <c r="Q82" s="3">
        <v>0.37351620499999999</v>
      </c>
      <c r="R82" s="3">
        <v>-0.107216824</v>
      </c>
      <c r="S82" s="3">
        <f>V82+W82*$G82+X82*$H82+Y82*$I82</f>
        <v>-0.72854766691998196</v>
      </c>
      <c r="T82" s="3">
        <f>S82*$B$162+$B$161</f>
        <v>6.8096827785721201</v>
      </c>
      <c r="U82" s="1">
        <v>3</v>
      </c>
      <c r="V82" s="3">
        <v>0.57876851500000004</v>
      </c>
      <c r="W82" s="3">
        <v>-0.118666143</v>
      </c>
      <c r="X82" s="3">
        <v>1.1943427209999999</v>
      </c>
      <c r="Y82" s="3">
        <v>-0.28412803199999997</v>
      </c>
      <c r="Z82" s="3">
        <f>AC82+AD82*$G82+AE82*$H82+AF82*$I82</f>
        <v>-0.94710243101954816</v>
      </c>
      <c r="AA82" s="3">
        <f>Z82*$B$162+$B$161</f>
        <v>5.5684908244062639</v>
      </c>
      <c r="AB82" s="1">
        <v>0</v>
      </c>
      <c r="AC82" s="3">
        <v>0.54283203499999999</v>
      </c>
      <c r="AD82" s="3">
        <v>-0.49819849599999999</v>
      </c>
      <c r="AE82" s="3">
        <v>0.48327922000000001</v>
      </c>
      <c r="AF82" s="3">
        <v>-0.39680633799999998</v>
      </c>
      <c r="AG82" s="3">
        <v>0.12784800599999999</v>
      </c>
      <c r="AH82" s="3">
        <v>-0.26445474699999999</v>
      </c>
      <c r="AI82" s="3">
        <v>0.67509106699999999</v>
      </c>
      <c r="AJ82" s="3">
        <v>-0.154544336</v>
      </c>
      <c r="AK82" s="3">
        <f>AN82+AO82*$G82+AP82*$H82+AQ82*$I82</f>
        <v>-0.71623236873941165</v>
      </c>
      <c r="AL82" s="3">
        <f>AK82*$B$162+$B$161</f>
        <v>6.8796224528585785</v>
      </c>
      <c r="AM82" s="1">
        <v>0</v>
      </c>
      <c r="AN82" s="3">
        <v>-0.25974846699999998</v>
      </c>
      <c r="AO82" s="3">
        <v>-0.46703683299999998</v>
      </c>
      <c r="AP82" s="3">
        <v>9.7003433E-2</v>
      </c>
      <c r="AQ82" s="3">
        <v>7.0833077999999994E-2</v>
      </c>
    </row>
    <row r="83" spans="1:43" x14ac:dyDescent="0.3">
      <c r="A83" s="1">
        <v>13165</v>
      </c>
      <c r="B83" s="3">
        <v>7.7</v>
      </c>
      <c r="C83" s="3">
        <v>53.799999999999898</v>
      </c>
      <c r="D83" s="3">
        <v>0.21</v>
      </c>
      <c r="E83" s="3">
        <v>41.509999999999899</v>
      </c>
      <c r="F83" s="3">
        <f>(B83-B$161)/B$162</f>
        <v>-0.57177653280985052</v>
      </c>
      <c r="G83" s="3">
        <f>(C83-C$161)/C$162</f>
        <v>-0.60634713401022933</v>
      </c>
      <c r="H83" s="3">
        <f>(D83-D$161)/D$162</f>
        <v>-0.74742908908103356</v>
      </c>
      <c r="I83" s="3">
        <f>(E83-E$161)/E$162</f>
        <v>0.81470980103271662</v>
      </c>
      <c r="J83" s="2">
        <v>970465.69999999902</v>
      </c>
      <c r="K83" s="1">
        <v>3640263</v>
      </c>
      <c r="L83" s="3">
        <f>O83+P83*$G83+Q83*$H83+R83*$I83</f>
        <v>-0.14418625295189605</v>
      </c>
      <c r="M83" s="3">
        <f>L83*$B$162+$B$161</f>
        <v>10.128323249899239</v>
      </c>
      <c r="N83" s="1">
        <v>0</v>
      </c>
      <c r="O83" s="3">
        <v>-0.29754170299999999</v>
      </c>
      <c r="P83" s="3">
        <v>-0.36655891800000001</v>
      </c>
      <c r="Q83" s="3">
        <v>0.15384221300000001</v>
      </c>
      <c r="R83" s="3">
        <v>5.6559581999999997E-2</v>
      </c>
      <c r="S83" s="3">
        <f>V83+W83*$G83+X83*$H83+Y83*$I83</f>
        <v>-0.4734469937140322</v>
      </c>
      <c r="T83" s="3">
        <f>S83*$B$162+$B$161</f>
        <v>8.2584222027160514</v>
      </c>
      <c r="U83" s="1">
        <v>3</v>
      </c>
      <c r="V83" s="3">
        <v>0.57876851500000004</v>
      </c>
      <c r="W83" s="3">
        <v>-0.118666143</v>
      </c>
      <c r="X83" s="3">
        <v>1.1943427209999999</v>
      </c>
      <c r="Y83" s="3">
        <v>-0.28412803199999997</v>
      </c>
      <c r="Z83" s="3">
        <f>AC83+AD83*$G83+AE83*$H83+AF83*$I83</f>
        <v>-0.31232315418995493</v>
      </c>
      <c r="AA83" s="3">
        <f>Z83*$B$162+$B$161</f>
        <v>9.1734588255301333</v>
      </c>
      <c r="AB83" s="1">
        <v>1</v>
      </c>
      <c r="AC83" s="3">
        <v>-0.27574183299999999</v>
      </c>
      <c r="AD83" s="3">
        <v>-0.23985341199999999</v>
      </c>
      <c r="AE83" s="3">
        <v>0.21363271</v>
      </c>
      <c r="AF83" s="3">
        <v>-2.7421357E-2</v>
      </c>
      <c r="AG83" s="3">
        <v>7.8475179999999995E-3</v>
      </c>
      <c r="AH83" s="3">
        <v>-0.34000298200000001</v>
      </c>
      <c r="AI83" s="3">
        <v>0.51097023200000002</v>
      </c>
      <c r="AJ83" s="3">
        <v>-0.10739752299999999</v>
      </c>
      <c r="AK83" s="3">
        <f>AN83+AO83*$G83+AP83*$H83+AQ83*$I83</f>
        <v>-0.4026006800345564</v>
      </c>
      <c r="AL83" s="3">
        <f>AK83*$B$162+$B$161</f>
        <v>8.6607647226037265</v>
      </c>
      <c r="AM83" s="1">
        <v>2</v>
      </c>
      <c r="AN83" s="3">
        <v>7.5780177000000004E-2</v>
      </c>
      <c r="AO83" s="3">
        <v>-0.16857382100000001</v>
      </c>
      <c r="AP83" s="3">
        <v>0.83152748499999996</v>
      </c>
      <c r="AQ83" s="3">
        <v>5.0217537999999999E-2</v>
      </c>
    </row>
    <row r="84" spans="1:43" x14ac:dyDescent="0.3">
      <c r="A84" s="1">
        <v>13167</v>
      </c>
      <c r="B84" s="3">
        <v>4.9000000000000004</v>
      </c>
      <c r="C84" s="3">
        <v>100</v>
      </c>
      <c r="D84" s="3">
        <v>0.28999999999999998</v>
      </c>
      <c r="E84" s="3">
        <v>33.89</v>
      </c>
      <c r="F84" s="3">
        <f>(B84-B$161)/B$162</f>
        <v>-1.0648133571502476</v>
      </c>
      <c r="G84" s="3">
        <f>(C84-C$161)/C$162</f>
        <v>1.1038758643818527</v>
      </c>
      <c r="H84" s="3">
        <f>(D84-D$161)/D$162</f>
        <v>-0.68251513296256605</v>
      </c>
      <c r="I84" s="3">
        <f>(E84-E$161)/E$162</f>
        <v>0.37494748331090022</v>
      </c>
      <c r="J84" s="2">
        <v>908636.7</v>
      </c>
      <c r="K84" s="1">
        <v>3624562</v>
      </c>
      <c r="L84" s="3">
        <f>O84+P84*$G84+Q84*$H84+R84*$I84</f>
        <v>-0.78597001098706054</v>
      </c>
      <c r="M84" s="3">
        <f>L84*$B$162+$B$161</f>
        <v>6.4835761766911739</v>
      </c>
      <c r="N84" s="1">
        <v>0</v>
      </c>
      <c r="O84" s="3">
        <v>-0.29754170299999999</v>
      </c>
      <c r="P84" s="3">
        <v>-0.36655891800000001</v>
      </c>
      <c r="Q84" s="3">
        <v>0.15384221300000001</v>
      </c>
      <c r="R84" s="3">
        <v>5.6559581999999997E-2</v>
      </c>
      <c r="S84" s="3">
        <f>V84+W84*$G84+X84*$H84+Y84*$I84</f>
        <v>-0.71105517008260943</v>
      </c>
      <c r="T84" s="3">
        <f>S84*$B$162+$B$161</f>
        <v>6.9090242247413167</v>
      </c>
      <c r="U84" s="1">
        <v>2</v>
      </c>
      <c r="V84" s="3">
        <v>-0.13655372900000001</v>
      </c>
      <c r="W84" s="3">
        <v>-0.53975352499999996</v>
      </c>
      <c r="X84" s="3">
        <v>6.0196410000000001E-3</v>
      </c>
      <c r="Y84" s="3">
        <v>6.7817348E-2</v>
      </c>
      <c r="Z84" s="3">
        <f>AC84+AD84*$G84+AE84*$H84+AF84*$I84</f>
        <v>-0.69659935176335974</v>
      </c>
      <c r="AA84" s="3">
        <f>Z84*$B$162+$B$161</f>
        <v>6.9911201033768524</v>
      </c>
      <c r="AB84" s="1">
        <v>1</v>
      </c>
      <c r="AC84" s="3">
        <v>-0.27574183299999999</v>
      </c>
      <c r="AD84" s="3">
        <v>-0.23985341199999999</v>
      </c>
      <c r="AE84" s="3">
        <v>0.21363271</v>
      </c>
      <c r="AF84" s="3">
        <v>-2.7421357E-2</v>
      </c>
      <c r="AG84" s="3">
        <v>1.3242558E-2</v>
      </c>
      <c r="AH84" s="3">
        <v>-0.30349313</v>
      </c>
      <c r="AI84" s="3">
        <v>0.55631678600000001</v>
      </c>
      <c r="AJ84" s="3">
        <v>-9.0934233000000003E-2</v>
      </c>
      <c r="AK84" s="3">
        <f>AN84+AO84*$G84+AP84*$H84+AQ84*$I84</f>
        <v>-0.8149467813665936</v>
      </c>
      <c r="AL84" s="3">
        <f>AK84*$B$162+$B$161</f>
        <v>6.3190145191086229</v>
      </c>
      <c r="AM84" s="1">
        <v>0</v>
      </c>
      <c r="AN84" s="3">
        <v>-0.25974846699999998</v>
      </c>
      <c r="AO84" s="3">
        <v>-0.46703683299999998</v>
      </c>
      <c r="AP84" s="3">
        <v>9.7003433E-2</v>
      </c>
      <c r="AQ84" s="3">
        <v>7.0833077999999994E-2</v>
      </c>
    </row>
    <row r="85" spans="1:43" x14ac:dyDescent="0.3">
      <c r="A85" s="1">
        <v>13169</v>
      </c>
      <c r="B85" s="3">
        <v>12</v>
      </c>
      <c r="C85" s="3">
        <v>81.900000000000006</v>
      </c>
      <c r="D85" s="3">
        <v>0.52</v>
      </c>
      <c r="E85" s="3">
        <v>25.6</v>
      </c>
      <c r="F85" s="3">
        <f>(B85-B$161)/B$162</f>
        <v>0.18538716171290198</v>
      </c>
      <c r="G85" s="3">
        <f>(C85-C$161)/C$162</f>
        <v>0.43385343427586553</v>
      </c>
      <c r="H85" s="3">
        <f>(D85-D$161)/D$162</f>
        <v>-0.49588750912197199</v>
      </c>
      <c r="I85" s="3">
        <f>(E85-E$161)/E$162</f>
        <v>-0.10348159987990121</v>
      </c>
      <c r="J85" s="2">
        <v>821367.09999999905</v>
      </c>
      <c r="K85" s="1">
        <v>3660143</v>
      </c>
      <c r="L85" s="3">
        <f>O85+P85*$G85+Q85*$H85+R85*$I85</f>
        <v>-0.1987457512945919</v>
      </c>
      <c r="M85" s="3">
        <f>L85*$B$162+$B$161</f>
        <v>9.8184750036471957</v>
      </c>
      <c r="N85" s="1">
        <v>1</v>
      </c>
      <c r="O85" s="3">
        <v>0.152735132</v>
      </c>
      <c r="P85" s="3">
        <v>-0.40878743200000001</v>
      </c>
      <c r="Q85" s="3">
        <v>0.37351620499999999</v>
      </c>
      <c r="R85" s="3">
        <v>-0.107216824</v>
      </c>
      <c r="S85" s="3">
        <f>V85+W85*$G85+X85*$H85+Y85*$I85</f>
        <v>-3.5572812305381542E-2</v>
      </c>
      <c r="T85" s="3">
        <f>S85*$B$162+$B$161</f>
        <v>10.745148644669904</v>
      </c>
      <c r="U85" s="1">
        <v>3</v>
      </c>
      <c r="V85" s="3">
        <v>0.57876851500000004</v>
      </c>
      <c r="W85" s="3">
        <v>-0.118666143</v>
      </c>
      <c r="X85" s="3">
        <v>1.1943427209999999</v>
      </c>
      <c r="Y85" s="3">
        <v>-0.28412803199999997</v>
      </c>
      <c r="Z85" s="3">
        <f>AC85+AD85*$G85+AE85*$H85+AF85*$I85</f>
        <v>0.1280969326418443</v>
      </c>
      <c r="AA85" s="3">
        <f>Z85*$B$162+$B$161</f>
        <v>11.674643690938161</v>
      </c>
      <c r="AB85" s="1">
        <v>0</v>
      </c>
      <c r="AC85" s="3">
        <v>0.54283203499999999</v>
      </c>
      <c r="AD85" s="3">
        <v>-0.49819849599999999</v>
      </c>
      <c r="AE85" s="3">
        <v>0.48327922000000001</v>
      </c>
      <c r="AF85" s="3">
        <v>-0.39680633799999998</v>
      </c>
      <c r="AG85" s="3">
        <v>0.19044667700000001</v>
      </c>
      <c r="AH85" s="3">
        <v>-0.251127932</v>
      </c>
      <c r="AI85" s="3">
        <v>0.67801239199999996</v>
      </c>
      <c r="AJ85" s="3">
        <v>-0.17044938600000001</v>
      </c>
      <c r="AK85" s="3">
        <f>AN85+AO85*$G85+AP85*$H85+AQ85*$I85</f>
        <v>-0.51780671193288186</v>
      </c>
      <c r="AL85" s="3">
        <f>AK85*$B$162+$B$161</f>
        <v>8.0064994154497082</v>
      </c>
      <c r="AM85" s="1">
        <v>0</v>
      </c>
      <c r="AN85" s="3">
        <v>-0.25974846699999998</v>
      </c>
      <c r="AO85" s="3">
        <v>-0.46703683299999998</v>
      </c>
      <c r="AP85" s="3">
        <v>9.7003433E-2</v>
      </c>
      <c r="AQ85" s="3">
        <v>7.0833077999999994E-2</v>
      </c>
    </row>
    <row r="86" spans="1:43" x14ac:dyDescent="0.3">
      <c r="A86" s="1">
        <v>13171</v>
      </c>
      <c r="B86" s="3">
        <v>10</v>
      </c>
      <c r="C86" s="3">
        <v>63.6</v>
      </c>
      <c r="D86" s="3">
        <v>0.34</v>
      </c>
      <c r="E86" s="3">
        <v>34.03</v>
      </c>
      <c r="F86" s="3">
        <f>(B86-B$161)/B$162</f>
        <v>-0.16678199853023876</v>
      </c>
      <c r="G86" s="3">
        <f>(C86-C$161)/C$162</f>
        <v>-0.24357255859372404</v>
      </c>
      <c r="H86" s="3">
        <f>(D86-D$161)/D$162</f>
        <v>-0.64194391038852383</v>
      </c>
      <c r="I86" s="3">
        <f>(E86-E$161)/E$162</f>
        <v>0.38302710594620931</v>
      </c>
      <c r="J86" s="2">
        <v>766461.69999999902</v>
      </c>
      <c r="K86" s="1">
        <v>3663959</v>
      </c>
      <c r="L86" s="3">
        <f>O86+P86*$G86+Q86*$H86+R86*$I86</f>
        <v>-0.28535222825644985</v>
      </c>
      <c r="M86" s="3">
        <f>L86*$B$162+$B$161</f>
        <v>9.3266291140067512</v>
      </c>
      <c r="N86" s="1">
        <v>0</v>
      </c>
      <c r="O86" s="3">
        <v>-0.29754170299999999</v>
      </c>
      <c r="P86" s="3">
        <v>-0.36655891800000001</v>
      </c>
      <c r="Q86" s="3">
        <v>0.15384221300000001</v>
      </c>
      <c r="R86" s="3">
        <v>5.6559581999999997E-2</v>
      </c>
      <c r="S86" s="3">
        <f>V86+W86*$G86+X86*$H86+Y86*$I86</f>
        <v>-0.2678574434090028</v>
      </c>
      <c r="T86" s="3">
        <f>S86*$B$162+$B$161</f>
        <v>9.4259835539887664</v>
      </c>
      <c r="U86" s="1">
        <v>3</v>
      </c>
      <c r="V86" s="3">
        <v>0.57876851500000004</v>
      </c>
      <c r="W86" s="3">
        <v>-0.118666143</v>
      </c>
      <c r="X86" s="3">
        <v>1.1943427209999999</v>
      </c>
      <c r="Y86" s="3">
        <v>-0.28412803199999997</v>
      </c>
      <c r="Z86" s="3">
        <f>AC86+AD86*$G86+AE86*$H86+AF86*$I86</f>
        <v>-0.36496346400885071</v>
      </c>
      <c r="AA86" s="3">
        <f>Z86*$B$162+$B$161</f>
        <v>8.8745098216903173</v>
      </c>
      <c r="AB86" s="1">
        <v>1</v>
      </c>
      <c r="AC86" s="3">
        <v>-0.27574183299999999</v>
      </c>
      <c r="AD86" s="3">
        <v>-0.23985341199999999</v>
      </c>
      <c r="AE86" s="3">
        <v>0.21363271</v>
      </c>
      <c r="AF86" s="3">
        <v>-2.7421357E-2</v>
      </c>
      <c r="AG86" s="3">
        <v>0.17506238399999999</v>
      </c>
      <c r="AH86" s="3">
        <v>-0.27121171900000002</v>
      </c>
      <c r="AI86" s="3">
        <v>0.62926224500000005</v>
      </c>
      <c r="AJ86" s="3">
        <v>-0.14825534900000001</v>
      </c>
      <c r="AK86" s="3">
        <f>AN86+AO86*$G86+AP86*$H86+AQ86*$I86</f>
        <v>-0.18113088485820927</v>
      </c>
      <c r="AL86" s="3">
        <f>AK86*$B$162+$B$161</f>
        <v>9.9185113976586479</v>
      </c>
      <c r="AM86" s="1">
        <v>0</v>
      </c>
      <c r="AN86" s="3">
        <v>-0.25974846699999998</v>
      </c>
      <c r="AO86" s="3">
        <v>-0.46703683299999998</v>
      </c>
      <c r="AP86" s="3">
        <v>9.7003433E-2</v>
      </c>
      <c r="AQ86" s="3">
        <v>7.0833077999999994E-2</v>
      </c>
    </row>
    <row r="87" spans="1:43" x14ac:dyDescent="0.3">
      <c r="A87" s="1">
        <v>13173</v>
      </c>
      <c r="B87" s="3">
        <v>5.4</v>
      </c>
      <c r="C87" s="3">
        <v>100</v>
      </c>
      <c r="D87" s="3">
        <v>0.85</v>
      </c>
      <c r="E87" s="3">
        <v>26.579999999999899</v>
      </c>
      <c r="F87" s="3">
        <f>(B87-B$161)/B$162</f>
        <v>-0.97677106708946237</v>
      </c>
      <c r="G87" s="3">
        <f>(C87-C$161)/C$162</f>
        <v>1.1038758643818527</v>
      </c>
      <c r="H87" s="3">
        <f>(D87-D$161)/D$162</f>
        <v>-0.22811744013329358</v>
      </c>
      <c r="I87" s="3">
        <f>(E87-E$161)/E$162</f>
        <v>-4.6924241432743638E-2</v>
      </c>
      <c r="J87" s="2">
        <v>873804.3</v>
      </c>
      <c r="K87" s="1">
        <v>3439981</v>
      </c>
      <c r="L87" s="3">
        <f>O87+P87*$G87+Q87*$H87+R87*$I87</f>
        <v>-0.73992535274923066</v>
      </c>
      <c r="M87" s="3">
        <f>L87*$B$162+$B$161</f>
        <v>6.7450678882654653</v>
      </c>
      <c r="N87" s="1">
        <v>0</v>
      </c>
      <c r="O87" s="3">
        <v>-0.29754170299999999</v>
      </c>
      <c r="P87" s="3">
        <v>-0.36655891800000001</v>
      </c>
      <c r="Q87" s="3">
        <v>0.15384221300000001</v>
      </c>
      <c r="R87" s="3">
        <v>5.6559581999999997E-2</v>
      </c>
      <c r="S87" s="3">
        <f>V87+W87*$G87+X87*$H87+Y87*$I87</f>
        <v>-0.7369300806688488</v>
      </c>
      <c r="T87" s="3">
        <f>S87*$B$162+$B$161</f>
        <v>6.7620783049545015</v>
      </c>
      <c r="U87" s="1">
        <v>2</v>
      </c>
      <c r="V87" s="3">
        <v>-0.13655372900000001</v>
      </c>
      <c r="W87" s="3">
        <v>-0.53975352499999996</v>
      </c>
      <c r="X87" s="3">
        <v>6.0196410000000001E-3</v>
      </c>
      <c r="Y87" s="3">
        <v>6.7817348E-2</v>
      </c>
      <c r="Z87" s="3">
        <f>AC87+AD87*$G87+AE87*$H87+AF87*$I87</f>
        <v>-0.58795684605409348</v>
      </c>
      <c r="AA87" s="3">
        <f>Z87*$B$162+$B$161</f>
        <v>7.608110561225339</v>
      </c>
      <c r="AB87" s="1">
        <v>1</v>
      </c>
      <c r="AC87" s="3">
        <v>-0.27574183299999999</v>
      </c>
      <c r="AD87" s="3">
        <v>-0.23985341199999999</v>
      </c>
      <c r="AE87" s="3">
        <v>0.21363271</v>
      </c>
      <c r="AF87" s="3">
        <v>-2.7421357E-2</v>
      </c>
      <c r="AG87" s="3">
        <v>-0.28660562299999998</v>
      </c>
      <c r="AH87" s="3">
        <v>-0.40782611400000002</v>
      </c>
      <c r="AI87" s="3">
        <v>0.140681585</v>
      </c>
      <c r="AJ87" s="3">
        <v>9.6809091E-2</v>
      </c>
      <c r="AK87" s="3">
        <f>AN87+AO87*$G87+AP87*$H87+AQ87*$I87</f>
        <v>-0.80075111799963572</v>
      </c>
      <c r="AL87" s="3">
        <f>AK87*$B$162+$B$161</f>
        <v>6.3996329546193138</v>
      </c>
      <c r="AM87" s="1">
        <v>0</v>
      </c>
      <c r="AN87" s="3">
        <v>-0.25974846699999998</v>
      </c>
      <c r="AO87" s="3">
        <v>-0.46703683299999998</v>
      </c>
      <c r="AP87" s="3">
        <v>9.7003433E-2</v>
      </c>
      <c r="AQ87" s="3">
        <v>7.0833077999999994E-2</v>
      </c>
    </row>
    <row r="88" spans="1:43" x14ac:dyDescent="0.3">
      <c r="A88" s="1">
        <v>13175</v>
      </c>
      <c r="B88" s="3">
        <v>12</v>
      </c>
      <c r="C88" s="3">
        <v>52.899999999999899</v>
      </c>
      <c r="D88" s="3">
        <v>0.49</v>
      </c>
      <c r="E88" s="3">
        <v>33.32</v>
      </c>
      <c r="F88" s="3">
        <f>(B88-B$161)/B$162</f>
        <v>0.18538716171290198</v>
      </c>
      <c r="G88" s="3">
        <f>(C88-C$161)/C$162</f>
        <v>-0.63966316644643861</v>
      </c>
      <c r="H88" s="3">
        <f>(D88-D$161)/D$162</f>
        <v>-0.52023024266639728</v>
      </c>
      <c r="I88" s="3">
        <f>(E88-E$161)/E$162</f>
        <v>0.34205187686714184</v>
      </c>
      <c r="J88" s="2">
        <v>884830.4</v>
      </c>
      <c r="K88" s="1">
        <v>3599291</v>
      </c>
      <c r="L88" s="3">
        <f>O88+P88*$G88+Q88*$H88+R88*$I88</f>
        <v>0.1832332533087124</v>
      </c>
      <c r="M88" s="3">
        <f>L88*$B$162+$B$161</f>
        <v>11.98776776249969</v>
      </c>
      <c r="N88" s="1">
        <v>1</v>
      </c>
      <c r="O88" s="3">
        <v>0.152735132</v>
      </c>
      <c r="P88" s="3">
        <v>-0.40878743200000001</v>
      </c>
      <c r="Q88" s="3">
        <v>0.37351620499999999</v>
      </c>
      <c r="R88" s="3">
        <v>-0.107216824</v>
      </c>
      <c r="S88" s="3">
        <f>V88+W88*$G88+X88*$H88+Y88*$I88</f>
        <v>0.22877217177148443</v>
      </c>
      <c r="T88" s="3">
        <f>S88*$B$162+$B$161</f>
        <v>12.246387332886441</v>
      </c>
      <c r="U88" s="1">
        <v>2</v>
      </c>
      <c r="V88" s="3">
        <v>-0.13655372900000001</v>
      </c>
      <c r="W88" s="3">
        <v>-0.53975352499999996</v>
      </c>
      <c r="X88" s="3">
        <v>6.0196410000000001E-3</v>
      </c>
      <c r="Y88" s="3">
        <v>6.7817348E-2</v>
      </c>
      <c r="Z88" s="3">
        <f>AC88+AD88*$G88+AE88*$H88+AF88*$I88</f>
        <v>0.47436644390830879</v>
      </c>
      <c r="AA88" s="3">
        <f>Z88*$B$162+$B$161</f>
        <v>13.641139059399142</v>
      </c>
      <c r="AB88" s="1">
        <v>0</v>
      </c>
      <c r="AC88" s="3">
        <v>0.54283203499999999</v>
      </c>
      <c r="AD88" s="3">
        <v>-0.49819849599999999</v>
      </c>
      <c r="AE88" s="3">
        <v>0.48327922000000001</v>
      </c>
      <c r="AF88" s="3">
        <v>-0.39680633799999998</v>
      </c>
      <c r="AG88" s="3">
        <v>-8.7438823999999998E-2</v>
      </c>
      <c r="AH88" s="3">
        <v>-0.32942075999999998</v>
      </c>
      <c r="AI88" s="3">
        <v>0.43724116699999999</v>
      </c>
      <c r="AJ88" s="3">
        <v>-2.4936251999999999E-2</v>
      </c>
      <c r="AK88" s="3">
        <f>AN88+AO88*$G88+AP88*$H88+AQ88*$I88</f>
        <v>1.27622602290096E-2</v>
      </c>
      <c r="AL88" s="3">
        <f>AK88*$B$162+$B$161</f>
        <v>11.019647822854729</v>
      </c>
      <c r="AM88" s="1">
        <v>0</v>
      </c>
      <c r="AN88" s="3">
        <v>-0.25974846699999998</v>
      </c>
      <c r="AO88" s="3">
        <v>-0.46703683299999998</v>
      </c>
      <c r="AP88" s="3">
        <v>9.7003433E-2</v>
      </c>
      <c r="AQ88" s="3">
        <v>7.0833077999999994E-2</v>
      </c>
    </row>
    <row r="89" spans="1:43" x14ac:dyDescent="0.3">
      <c r="A89" s="1">
        <v>13177</v>
      </c>
      <c r="B89" s="3">
        <v>13.6999999999999</v>
      </c>
      <c r="C89" s="3">
        <v>78.2</v>
      </c>
      <c r="D89" s="3">
        <v>0.7</v>
      </c>
      <c r="E89" s="3">
        <v>19.219999999999899</v>
      </c>
      <c r="F89" s="3">
        <f>(B89-B$161)/B$162</f>
        <v>0.48473094791955396</v>
      </c>
      <c r="G89" s="3">
        <f>(C89-C$161)/C$162</f>
        <v>0.29688752314922712</v>
      </c>
      <c r="H89" s="3">
        <f>(D89-D$161)/D$162</f>
        <v>-0.34983110785542015</v>
      </c>
      <c r="I89" s="3">
        <f>(E89-E$161)/E$162</f>
        <v>-0.47168154568899195</v>
      </c>
      <c r="J89" s="2">
        <v>770455.5</v>
      </c>
      <c r="K89" s="1">
        <v>3520161</v>
      </c>
      <c r="L89" s="3">
        <f>O89+P89*$G89+Q89*$H89+R89*$I89</f>
        <v>-0.48686537512328343</v>
      </c>
      <c r="M89" s="3">
        <f>L89*$B$162+$B$161</f>
        <v>8.1822180206122752</v>
      </c>
      <c r="N89" s="1">
        <v>0</v>
      </c>
      <c r="O89" s="3">
        <v>-0.29754170299999999</v>
      </c>
      <c r="P89" s="3">
        <v>-0.36655891800000001</v>
      </c>
      <c r="Q89" s="3">
        <v>0.15384221300000001</v>
      </c>
      <c r="R89" s="3">
        <v>5.6559581999999997E-2</v>
      </c>
      <c r="S89" s="3">
        <f>V89+W89*$G89+X89*$H89+Y89*$I89</f>
        <v>-0.33089386535740456</v>
      </c>
      <c r="T89" s="3">
        <f>S89*$B$162+$B$161</f>
        <v>9.0679941042318326</v>
      </c>
      <c r="U89" s="1">
        <v>2</v>
      </c>
      <c r="V89" s="3">
        <v>-0.13655372900000001</v>
      </c>
      <c r="W89" s="3">
        <v>-0.53975352499999996</v>
      </c>
      <c r="X89" s="3">
        <v>6.0196410000000001E-3</v>
      </c>
      <c r="Y89" s="3">
        <v>6.7817348E-2</v>
      </c>
      <c r="Z89" s="3">
        <f>AC89+AD89*$G89+AE89*$H89+AF89*$I89</f>
        <v>0.41302323939681507</v>
      </c>
      <c r="AA89" s="3">
        <f>Z89*$B$162+$B$161</f>
        <v>13.292765542143163</v>
      </c>
      <c r="AB89" s="1">
        <v>0</v>
      </c>
      <c r="AC89" s="3">
        <v>0.54283203499999999</v>
      </c>
      <c r="AD89" s="3">
        <v>-0.49819849599999999</v>
      </c>
      <c r="AE89" s="3">
        <v>0.48327922000000001</v>
      </c>
      <c r="AF89" s="3">
        <v>-0.39680633799999998</v>
      </c>
      <c r="AG89" s="3">
        <v>-0.18842721100000001</v>
      </c>
      <c r="AH89" s="3">
        <v>-0.35020663200000002</v>
      </c>
      <c r="AI89" s="3">
        <v>0.20057301699999999</v>
      </c>
      <c r="AJ89" s="3">
        <v>2.9003894999999998E-2</v>
      </c>
      <c r="AK89" s="3">
        <f>AN89+AO89*$G89+AP89*$H89+AQ89*$I89</f>
        <v>-0.46575134971794718</v>
      </c>
      <c r="AL89" s="3">
        <f>AK89*$B$162+$B$161</f>
        <v>8.3021264497930645</v>
      </c>
      <c r="AM89" s="1">
        <v>0</v>
      </c>
      <c r="AN89" s="3">
        <v>-0.25974846699999998</v>
      </c>
      <c r="AO89" s="3">
        <v>-0.46703683299999998</v>
      </c>
      <c r="AP89" s="3">
        <v>9.7003433E-2</v>
      </c>
      <c r="AQ89" s="3">
        <v>7.0833077999999994E-2</v>
      </c>
    </row>
    <row r="90" spans="1:43" x14ac:dyDescent="0.3">
      <c r="A90" s="1">
        <v>13179</v>
      </c>
      <c r="B90" s="3">
        <v>13.4</v>
      </c>
      <c r="C90" s="3">
        <v>32.899999999999899</v>
      </c>
      <c r="D90" s="3">
        <v>3.85</v>
      </c>
      <c r="E90" s="3">
        <v>39.149999999999899</v>
      </c>
      <c r="F90" s="3">
        <f>(B90-B$161)/B$162</f>
        <v>0.43190557388310052</v>
      </c>
      <c r="G90" s="3">
        <f>(C90-C$161)/C$162</f>
        <v>-1.3800194428066455</v>
      </c>
      <c r="H90" s="3">
        <f>(D90-D$161)/D$162</f>
        <v>2.2061559143092375</v>
      </c>
      <c r="I90" s="3">
        <f>(E90-E$161)/E$162</f>
        <v>0.6785104480375066</v>
      </c>
      <c r="J90" s="2">
        <v>1014742</v>
      </c>
      <c r="K90" s="1">
        <v>3537225</v>
      </c>
      <c r="L90" s="3">
        <f>O90+P90*$G90+Q90*$H90+R90*$I90</f>
        <v>0.58609290617817233</v>
      </c>
      <c r="M90" s="3">
        <f>L90*$B$162+$B$161</f>
        <v>14.2756435809917</v>
      </c>
      <c r="N90" s="1">
        <v>0</v>
      </c>
      <c r="O90" s="3">
        <v>-0.29754170299999999</v>
      </c>
      <c r="P90" s="3">
        <v>-0.36655891800000001</v>
      </c>
      <c r="Q90" s="3">
        <v>0.15384221300000001</v>
      </c>
      <c r="R90" s="3">
        <v>5.6559581999999997E-2</v>
      </c>
      <c r="S90" s="3">
        <f>V90+W90*$G90+X90*$H90+Y90*$I90</f>
        <v>0.66761167559378642</v>
      </c>
      <c r="T90" s="3">
        <f>S90*$B$162+$B$161</f>
        <v>14.738595926729941</v>
      </c>
      <c r="U90" s="1">
        <v>2</v>
      </c>
      <c r="V90" s="3">
        <v>-0.13655372900000001</v>
      </c>
      <c r="W90" s="3">
        <v>-0.53975352499999996</v>
      </c>
      <c r="X90" s="3">
        <v>6.0196410000000001E-3</v>
      </c>
      <c r="Y90" s="3">
        <v>6.7817348E-2</v>
      </c>
      <c r="Z90" s="3">
        <f>AC90+AD90*$G90+AE90*$H90+AF90*$I90</f>
        <v>2.0273077091422813</v>
      </c>
      <c r="AA90" s="3">
        <f>Z90*$B$162+$B$161</f>
        <v>22.460430698461508</v>
      </c>
      <c r="AB90" s="1">
        <v>0</v>
      </c>
      <c r="AC90" s="3">
        <v>0.54283203499999999</v>
      </c>
      <c r="AD90" s="3">
        <v>-0.49819849599999999</v>
      </c>
      <c r="AE90" s="3">
        <v>0.48327922000000001</v>
      </c>
      <c r="AF90" s="3">
        <v>-0.39680633799999998</v>
      </c>
      <c r="AG90" s="3">
        <v>-0.185762498</v>
      </c>
      <c r="AH90" s="3">
        <v>-0.44881596200000001</v>
      </c>
      <c r="AI90" s="3">
        <v>0.25196748200000002</v>
      </c>
      <c r="AJ90" s="3">
        <v>1.2514157999999999E-2</v>
      </c>
      <c r="AK90" s="3">
        <f>AN90+AO90*$G90+AP90*$H90+AQ90*$I90</f>
        <v>0.64683712395774573</v>
      </c>
      <c r="AL90" s="3">
        <f>AK90*$B$162+$B$161</f>
        <v>14.620615399294218</v>
      </c>
      <c r="AM90" s="1">
        <v>0</v>
      </c>
      <c r="AN90" s="3">
        <v>-0.25974846699999998</v>
      </c>
      <c r="AO90" s="3">
        <v>-0.46703683299999998</v>
      </c>
      <c r="AP90" s="3">
        <v>9.7003433E-2</v>
      </c>
      <c r="AQ90" s="3">
        <v>7.0833077999999994E-2</v>
      </c>
    </row>
    <row r="91" spans="1:43" x14ac:dyDescent="0.3">
      <c r="A91" s="1">
        <v>13181</v>
      </c>
      <c r="B91" s="3">
        <v>8.1999999999999904</v>
      </c>
      <c r="C91" s="3">
        <v>100</v>
      </c>
      <c r="D91" s="3">
        <v>0.26</v>
      </c>
      <c r="E91" s="3">
        <v>38.189999999999898</v>
      </c>
      <c r="F91" s="3">
        <f>(B91-B$161)/B$162</f>
        <v>-0.48373424274906712</v>
      </c>
      <c r="G91" s="3">
        <f>(C91-C$161)/C$162</f>
        <v>1.1038758643818527</v>
      </c>
      <c r="H91" s="3">
        <f>(D91-D$161)/D$162</f>
        <v>-0.70685786650699134</v>
      </c>
      <c r="I91" s="3">
        <f>(E91-E$161)/E$162</f>
        <v>0.62310732139538716</v>
      </c>
      <c r="J91" s="2">
        <v>919396.5</v>
      </c>
      <c r="K91" s="1">
        <v>3752562</v>
      </c>
      <c r="L91" s="3">
        <f>O91+P91*$G91+Q91*$H91+R91*$I91</f>
        <v>-0.62934590363068654</v>
      </c>
      <c r="M91" s="3">
        <f>L91*$B$162+$B$161</f>
        <v>7.3730584201007865</v>
      </c>
      <c r="N91" s="1">
        <v>1</v>
      </c>
      <c r="O91" s="3">
        <v>0.152735132</v>
      </c>
      <c r="P91" s="3">
        <v>-0.40878743200000001</v>
      </c>
      <c r="Q91" s="3">
        <v>0.37351620499999999</v>
      </c>
      <c r="R91" s="3">
        <v>-0.107216824</v>
      </c>
      <c r="S91" s="3">
        <f>V91+W91*$G91+X91*$H91+Y91*$I91</f>
        <v>-0.57349698077406308</v>
      </c>
      <c r="T91" s="3">
        <f>S91*$B$162+$B$161</f>
        <v>7.6902294229112815</v>
      </c>
      <c r="U91" s="1">
        <v>3</v>
      </c>
      <c r="V91" s="3">
        <v>0.57876851500000004</v>
      </c>
      <c r="W91" s="3">
        <v>-0.118666143</v>
      </c>
      <c r="X91" s="3">
        <v>1.1943427209999999</v>
      </c>
      <c r="Y91" s="3">
        <v>-0.28412803199999997</v>
      </c>
      <c r="Z91" s="3">
        <f>AC91+AD91*$G91+AE91*$H91+AF91*$I91</f>
        <v>-0.59597991316599452</v>
      </c>
      <c r="AA91" s="3">
        <f>Z91*$B$162+$B$161</f>
        <v>7.5625468491367407</v>
      </c>
      <c r="AB91" s="1">
        <v>0</v>
      </c>
      <c r="AC91" s="3">
        <v>0.54283203499999999</v>
      </c>
      <c r="AD91" s="3">
        <v>-0.49819849599999999</v>
      </c>
      <c r="AE91" s="3">
        <v>0.48327922000000001</v>
      </c>
      <c r="AF91" s="3">
        <v>-0.39680633799999998</v>
      </c>
      <c r="AG91" s="3">
        <v>0.20143713299999999</v>
      </c>
      <c r="AH91" s="3">
        <v>-0.302850597</v>
      </c>
      <c r="AI91" s="3">
        <v>0.70265244500000001</v>
      </c>
      <c r="AJ91" s="3">
        <v>-0.161335702</v>
      </c>
      <c r="AK91" s="3">
        <f>AN91+AO91*$G91+AP91*$H91+AQ91*$I91</f>
        <v>-0.66678522376729987</v>
      </c>
      <c r="AL91" s="3">
        <f>AK91*$B$162+$B$161</f>
        <v>7.1604371893787953</v>
      </c>
      <c r="AM91" s="1">
        <v>2</v>
      </c>
      <c r="AN91" s="3">
        <v>7.5780177000000004E-2</v>
      </c>
      <c r="AO91" s="3">
        <v>-0.16857382100000001</v>
      </c>
      <c r="AP91" s="3">
        <v>0.83152748499999996</v>
      </c>
      <c r="AQ91" s="3">
        <v>5.0217537999999999E-2</v>
      </c>
    </row>
    <row r="92" spans="1:43" x14ac:dyDescent="0.3">
      <c r="A92" s="1">
        <v>13183</v>
      </c>
      <c r="B92" s="3">
        <v>5.2</v>
      </c>
      <c r="C92" s="3">
        <v>100</v>
      </c>
      <c r="D92" s="3">
        <v>2.02</v>
      </c>
      <c r="E92" s="3">
        <v>21.75</v>
      </c>
      <c r="F92" s="3">
        <f>(B92-B$161)/B$162</f>
        <v>-1.0119879831137766</v>
      </c>
      <c r="G92" s="3">
        <f>(C92-C$161)/C$162</f>
        <v>1.1038758643818527</v>
      </c>
      <c r="H92" s="3">
        <f>(D92-D$161)/D$162</f>
        <v>0.72124916809929362</v>
      </c>
      <c r="I92" s="3">
        <f>(E92-E$161)/E$162</f>
        <v>-0.32567122235090079</v>
      </c>
      <c r="J92" s="2">
        <v>1004544</v>
      </c>
      <c r="K92" s="1">
        <v>3517834</v>
      </c>
      <c r="L92" s="3">
        <f>O92+P92*$G92+Q92*$H92+R92*$I92</f>
        <v>-0.60963850551491827</v>
      </c>
      <c r="M92" s="3">
        <f>L92*$B$162+$B$161</f>
        <v>7.4849784877305705</v>
      </c>
      <c r="N92" s="1">
        <v>0</v>
      </c>
      <c r="O92" s="3">
        <v>-0.29754170299999999</v>
      </c>
      <c r="P92" s="3">
        <v>-0.36655891800000001</v>
      </c>
      <c r="Q92" s="3">
        <v>0.15384221300000001</v>
      </c>
      <c r="R92" s="3">
        <v>5.6559581999999997E-2</v>
      </c>
      <c r="S92" s="3">
        <f>V92+W92*$G92+X92*$H92+Y92*$I92</f>
        <v>-0.84787968521038404</v>
      </c>
      <c r="T92" s="3">
        <f>S92*$B$162+$B$161</f>
        <v>6.1319856275324653</v>
      </c>
      <c r="U92" s="1">
        <v>0</v>
      </c>
      <c r="V92" s="3">
        <v>-0.54906074100000002</v>
      </c>
      <c r="W92" s="3">
        <v>-0.34651111899999998</v>
      </c>
      <c r="X92" s="3">
        <v>0.18161730300000001</v>
      </c>
      <c r="Y92" s="3">
        <v>0.14525389</v>
      </c>
      <c r="Z92" s="3">
        <f>AC92+AD92*$G92+AE92*$H92+AF92*$I92</f>
        <v>-0.37749746427742858</v>
      </c>
      <c r="AA92" s="3">
        <f>Z92*$B$162+$B$161</f>
        <v>8.8033281187841084</v>
      </c>
      <c r="AB92" s="1">
        <v>1</v>
      </c>
      <c r="AC92" s="3">
        <v>-0.27574183299999999</v>
      </c>
      <c r="AD92" s="3">
        <v>-0.23985341199999999</v>
      </c>
      <c r="AE92" s="3">
        <v>0.21363271</v>
      </c>
      <c r="AF92" s="3">
        <v>-2.7421357E-2</v>
      </c>
      <c r="AG92" s="3">
        <v>-0.20585009500000001</v>
      </c>
      <c r="AH92" s="3">
        <v>-0.451375735</v>
      </c>
      <c r="AI92" s="3">
        <v>0.23241683799999999</v>
      </c>
      <c r="AJ92" s="3">
        <v>3.0264233000000001E-2</v>
      </c>
      <c r="AK92" s="3">
        <f>AN92+AO92*$G92+AP92*$H92+AQ92*$I92</f>
        <v>-0.72840380446714914</v>
      </c>
      <c r="AL92" s="3">
        <f>AK92*$B$162+$B$161</f>
        <v>6.8104997862438514</v>
      </c>
      <c r="AM92" s="1">
        <v>0</v>
      </c>
      <c r="AN92" s="3">
        <v>-0.25974846699999998</v>
      </c>
      <c r="AO92" s="3">
        <v>-0.46703683299999998</v>
      </c>
      <c r="AP92" s="3">
        <v>9.7003433E-2</v>
      </c>
      <c r="AQ92" s="3">
        <v>7.0833077999999994E-2</v>
      </c>
    </row>
    <row r="93" spans="1:43" x14ac:dyDescent="0.3">
      <c r="A93" s="1">
        <v>13185</v>
      </c>
      <c r="B93" s="3">
        <v>16.3</v>
      </c>
      <c r="C93" s="3">
        <v>47.6</v>
      </c>
      <c r="D93" s="3">
        <v>1.53</v>
      </c>
      <c r="E93" s="3">
        <v>31.8799999999999</v>
      </c>
      <c r="F93" s="3">
        <f>(B93-B$161)/B$162</f>
        <v>0.94255085623565471</v>
      </c>
      <c r="G93" s="3">
        <f>(C93-C$161)/C$162</f>
        <v>-0.83585757968188967</v>
      </c>
      <c r="H93" s="3">
        <f>(D93-D$161)/D$162</f>
        <v>0.32365118687368022</v>
      </c>
      <c r="I93" s="3">
        <f>(E93-E$161)/E$162</f>
        <v>0.25894718690395696</v>
      </c>
      <c r="J93" s="2">
        <v>864781.09999999905</v>
      </c>
      <c r="K93" s="1">
        <v>3419313</v>
      </c>
      <c r="L93" s="3">
        <f>O93+P93*$G93+Q93*$H93+R93*$I93</f>
        <v>7.3286506490379474E-2</v>
      </c>
      <c r="M93" s="3">
        <f>L93*$B$162+$B$161</f>
        <v>11.36337040333045</v>
      </c>
      <c r="N93" s="1">
        <v>0</v>
      </c>
      <c r="O93" s="3">
        <v>-0.29754170299999999</v>
      </c>
      <c r="P93" s="3">
        <v>-0.36655891800000001</v>
      </c>
      <c r="Q93" s="3">
        <v>0.15384221300000001</v>
      </c>
      <c r="R93" s="3">
        <v>5.6559581999999997E-2</v>
      </c>
      <c r="S93" s="3">
        <f>V93+W93*$G93+X93*$H93+Y93*$I93</f>
        <v>0.33411272147335841</v>
      </c>
      <c r="T93" s="3">
        <f>S93*$B$162+$B$161</f>
        <v>12.844625688733078</v>
      </c>
      <c r="U93" s="1">
        <v>2</v>
      </c>
      <c r="V93" s="3">
        <v>-0.13655372900000001</v>
      </c>
      <c r="W93" s="3">
        <v>-0.53975352499999996</v>
      </c>
      <c r="X93" s="3">
        <v>6.0196410000000001E-3</v>
      </c>
      <c r="Y93" s="3">
        <v>6.7817348E-2</v>
      </c>
      <c r="Z93" s="3">
        <f>AC93+AD93*$G93+AE93*$H93+AF93*$I93</f>
        <v>-1.321674367693528E-2</v>
      </c>
      <c r="AA93" s="3">
        <f>Z93*$B$162+$B$161</f>
        <v>10.872110747842205</v>
      </c>
      <c r="AB93" s="1">
        <v>1</v>
      </c>
      <c r="AC93" s="3">
        <v>-0.27574183299999999</v>
      </c>
      <c r="AD93" s="3">
        <v>-0.23985341199999999</v>
      </c>
      <c r="AE93" s="3">
        <v>0.21363271</v>
      </c>
      <c r="AF93" s="3">
        <v>-2.7421357E-2</v>
      </c>
      <c r="AG93" s="3">
        <v>-0.29053061899999999</v>
      </c>
      <c r="AH93" s="3">
        <v>-0.40719599400000001</v>
      </c>
      <c r="AI93" s="3">
        <v>0.13047888199999999</v>
      </c>
      <c r="AJ93" s="3">
        <v>9.8528985999999999E-2</v>
      </c>
      <c r="AK93" s="3">
        <f>AN93+AO93*$G93+AP93*$H93+AQ93*$I93</f>
        <v>0.18036511236279498</v>
      </c>
      <c r="AL93" s="3">
        <f>AK93*$B$162+$B$161</f>
        <v>11.971479334836477</v>
      </c>
      <c r="AM93" s="1">
        <v>0</v>
      </c>
      <c r="AN93" s="3">
        <v>-0.25974846699999998</v>
      </c>
      <c r="AO93" s="3">
        <v>-0.46703683299999998</v>
      </c>
      <c r="AP93" s="3">
        <v>9.7003433E-2</v>
      </c>
      <c r="AQ93" s="3">
        <v>7.0833077999999994E-2</v>
      </c>
    </row>
    <row r="94" spans="1:43" x14ac:dyDescent="0.3">
      <c r="A94" s="1">
        <v>13187</v>
      </c>
      <c r="B94" s="3">
        <v>11.1</v>
      </c>
      <c r="C94" s="3">
        <v>78.599999999999895</v>
      </c>
      <c r="D94" s="3">
        <v>0.76</v>
      </c>
      <c r="E94" s="3">
        <v>1.41</v>
      </c>
      <c r="F94" s="3">
        <f>(B94-B$161)/B$162</f>
        <v>2.691103960348858E-2</v>
      </c>
      <c r="G94" s="3">
        <f>(C94-C$161)/C$162</f>
        <v>0.31169464867642727</v>
      </c>
      <c r="H94" s="3">
        <f>(D94-D$161)/D$162</f>
        <v>-0.30114564076656947</v>
      </c>
      <c r="I94" s="3">
        <f>(E94-E$161)/E$162</f>
        <v>-1.4995249680808045</v>
      </c>
      <c r="J94" s="2">
        <v>772600</v>
      </c>
      <c r="K94" s="1">
        <v>3832429</v>
      </c>
      <c r="L94" s="3">
        <f>O94+P94*$G94+Q94*$H94+R94*$I94</f>
        <v>7.360980469432403E-2</v>
      </c>
      <c r="M94" s="3">
        <f>L94*$B$162+$B$161</f>
        <v>11.365206442600449</v>
      </c>
      <c r="N94" s="1">
        <v>1</v>
      </c>
      <c r="O94" s="3">
        <v>0.152735132</v>
      </c>
      <c r="P94" s="3">
        <v>-0.40878743200000001</v>
      </c>
      <c r="Q94" s="3">
        <v>0.37351620499999999</v>
      </c>
      <c r="R94" s="3">
        <v>-0.107216824</v>
      </c>
      <c r="S94" s="3">
        <f>V94+W94*$G94+X94*$H94+Y94*$I94</f>
        <v>-0.30490107155575608</v>
      </c>
      <c r="T94" s="3">
        <f>S94*$B$162+$B$161</f>
        <v>9.2156094932891985</v>
      </c>
      <c r="U94" s="1">
        <v>1</v>
      </c>
      <c r="V94" s="3">
        <v>-0.18342203200000001</v>
      </c>
      <c r="W94" s="3">
        <v>-0.17380490200000001</v>
      </c>
      <c r="X94" s="3">
        <v>0.64175570999999998</v>
      </c>
      <c r="Y94" s="3">
        <v>-8.3997902999999999E-2</v>
      </c>
      <c r="Z94" s="3">
        <f>AC94+AD94*$G94+AE94*$H94+AF94*$I94</f>
        <v>-0.37371840784867372</v>
      </c>
      <c r="AA94" s="3">
        <f>Z94*$B$162+$B$161</f>
        <v>8.8247897165352907</v>
      </c>
      <c r="AB94" s="1">
        <v>1</v>
      </c>
      <c r="AC94" s="3">
        <v>-0.27574183299999999</v>
      </c>
      <c r="AD94" s="3">
        <v>-0.23985341199999999</v>
      </c>
      <c r="AE94" s="3">
        <v>0.21363271</v>
      </c>
      <c r="AF94" s="3">
        <v>-2.7421357E-2</v>
      </c>
      <c r="AG94" s="3">
        <v>0.14451405000000001</v>
      </c>
      <c r="AH94" s="3">
        <v>-0.28464588400000002</v>
      </c>
      <c r="AI94" s="3">
        <v>0.72736740899999996</v>
      </c>
      <c r="AJ94" s="3">
        <v>-6.0290097000000001E-2</v>
      </c>
      <c r="AK94" s="3">
        <f>AN94+AO94*$G94+AP94*$H94+AQ94*$I94</f>
        <v>0.565596802544579</v>
      </c>
      <c r="AL94" s="3">
        <f>AK94*$B$162+$B$161</f>
        <v>14.159244384540525</v>
      </c>
      <c r="AM94" s="1">
        <v>4</v>
      </c>
      <c r="AN94" s="3">
        <v>0.61558443699999998</v>
      </c>
      <c r="AO94" s="3">
        <v>-0.957700683</v>
      </c>
      <c r="AP94" s="3">
        <v>0.17952755200000001</v>
      </c>
      <c r="AQ94" s="3">
        <v>-0.20178822599999999</v>
      </c>
    </row>
    <row r="95" spans="1:43" x14ac:dyDescent="0.3">
      <c r="A95" s="1">
        <v>13189</v>
      </c>
      <c r="B95" s="3">
        <v>10.4</v>
      </c>
      <c r="C95" s="3">
        <v>65.900000000000006</v>
      </c>
      <c r="D95" s="3">
        <v>0.22</v>
      </c>
      <c r="E95" s="3">
        <v>36.380000000000003</v>
      </c>
      <c r="F95" s="3">
        <f>(B95-B$161)/B$162</f>
        <v>-9.6348166481610556E-2</v>
      </c>
      <c r="G95" s="3">
        <f>(C95-C$161)/C$162</f>
        <v>-0.15843158681230007</v>
      </c>
      <c r="H95" s="3">
        <f>(D95-D$161)/D$162</f>
        <v>-0.73931484456622509</v>
      </c>
      <c r="I95" s="3">
        <f>(E95-E$161)/E$162</f>
        <v>0.51864934303889743</v>
      </c>
      <c r="J95" s="2">
        <v>917730.9</v>
      </c>
      <c r="K95" s="1">
        <v>3716368</v>
      </c>
      <c r="L95" s="3">
        <f>O95+P95*$G95+Q95*$H95+R95*$I95</f>
        <v>-0.1142540368521731</v>
      </c>
      <c r="M95" s="3">
        <f>L95*$B$162+$B$161</f>
        <v>10.298310968750357</v>
      </c>
      <c r="N95" s="1">
        <v>1</v>
      </c>
      <c r="O95" s="3">
        <v>0.152735132</v>
      </c>
      <c r="P95" s="3">
        <v>-0.40878743200000001</v>
      </c>
      <c r="Q95" s="3">
        <v>0.37351620499999999</v>
      </c>
      <c r="R95" s="3">
        <v>-0.107216824</v>
      </c>
      <c r="S95" s="3">
        <f>V95+W95*$G95+X95*$H95+Y95*$I95</f>
        <v>-2.0316708510136734E-2</v>
      </c>
      <c r="T95" s="3">
        <f>S95*$B$162+$B$161</f>
        <v>10.83178941573976</v>
      </c>
      <c r="U95" s="1">
        <v>2</v>
      </c>
      <c r="V95" s="3">
        <v>-0.13655372900000001</v>
      </c>
      <c r="W95" s="3">
        <v>-0.53975352499999996</v>
      </c>
      <c r="X95" s="3">
        <v>6.0196410000000001E-3</v>
      </c>
      <c r="Y95" s="3">
        <v>6.7817348E-2</v>
      </c>
      <c r="Z95" s="3">
        <f>AC95+AD95*$G95+AE95*$H95+AF95*$I95</f>
        <v>5.8663565335024176E-2</v>
      </c>
      <c r="AA95" s="3">
        <f>Z95*$B$162+$B$161</f>
        <v>11.280325419236672</v>
      </c>
      <c r="AB95" s="1">
        <v>0</v>
      </c>
      <c r="AC95" s="3">
        <v>0.54283203499999999</v>
      </c>
      <c r="AD95" s="3">
        <v>-0.49819849599999999</v>
      </c>
      <c r="AE95" s="3">
        <v>0.48327922000000001</v>
      </c>
      <c r="AF95" s="3">
        <v>-0.39680633799999998</v>
      </c>
      <c r="AG95" s="3">
        <v>0.19004365000000001</v>
      </c>
      <c r="AH95" s="3">
        <v>-0.27232054</v>
      </c>
      <c r="AI95" s="3">
        <v>0.71462711800000001</v>
      </c>
      <c r="AJ95" s="3">
        <v>-0.169041788</v>
      </c>
      <c r="AK95" s="3">
        <f>AN95+AO95*$G95+AP95*$H95+AQ95*$I95</f>
        <v>-0.48622772527654556</v>
      </c>
      <c r="AL95" s="3">
        <f>AK95*$B$162+$B$161</f>
        <v>8.1858392908353554</v>
      </c>
      <c r="AM95" s="1">
        <v>2</v>
      </c>
      <c r="AN95" s="3">
        <v>7.5780177000000004E-2</v>
      </c>
      <c r="AO95" s="3">
        <v>-0.16857382100000001</v>
      </c>
      <c r="AP95" s="3">
        <v>0.83152748499999996</v>
      </c>
      <c r="AQ95" s="3">
        <v>5.0217537999999999E-2</v>
      </c>
    </row>
    <row r="96" spans="1:43" x14ac:dyDescent="0.3">
      <c r="A96" s="1">
        <v>13191</v>
      </c>
      <c r="B96" s="3">
        <v>8.6999999999999904</v>
      </c>
      <c r="C96" s="3">
        <v>100</v>
      </c>
      <c r="D96" s="3">
        <v>0.27</v>
      </c>
      <c r="E96" s="3">
        <v>43.34</v>
      </c>
      <c r="F96" s="3">
        <f>(B96-B$161)/B$162</f>
        <v>-0.39569195268828194</v>
      </c>
      <c r="G96" s="3">
        <f>(C96-C$161)/C$162</f>
        <v>1.1038758643818527</v>
      </c>
      <c r="H96" s="3">
        <f>(D96-D$161)/D$162</f>
        <v>-0.69874362199218287</v>
      </c>
      <c r="I96" s="3">
        <f>(E96-E$161)/E$162</f>
        <v>0.92032201119426271</v>
      </c>
      <c r="J96" s="2">
        <v>1030500</v>
      </c>
      <c r="K96" s="1">
        <v>3500535</v>
      </c>
      <c r="L96" s="3">
        <f>O96+P96*$G96+Q96*$H96+R96*$I96</f>
        <v>-0.75762048232249268</v>
      </c>
      <c r="M96" s="3">
        <f>L96*$B$162+$B$161</f>
        <v>6.6445756727571839</v>
      </c>
      <c r="N96" s="1">
        <v>0</v>
      </c>
      <c r="O96" s="3">
        <v>-0.29754170299999999</v>
      </c>
      <c r="P96" s="3">
        <v>-0.36655891800000001</v>
      </c>
      <c r="Q96" s="3">
        <v>0.15384221300000001</v>
      </c>
      <c r="R96" s="3">
        <v>5.6559581999999997E-2</v>
      </c>
      <c r="S96" s="3">
        <f>V96+W96*$G96+X96*$H96+Y96*$I96</f>
        <v>-0.67416700561273846</v>
      </c>
      <c r="T96" s="3">
        <f>S96*$B$162+$B$161</f>
        <v>7.1185153933854028</v>
      </c>
      <c r="U96" s="1">
        <v>2</v>
      </c>
      <c r="V96" s="3">
        <v>-0.13655372900000001</v>
      </c>
      <c r="W96" s="3">
        <v>-0.53975352499999996</v>
      </c>
      <c r="X96" s="3">
        <v>6.0196410000000001E-3</v>
      </c>
      <c r="Y96" s="3">
        <v>6.7817348E-2</v>
      </c>
      <c r="Z96" s="3">
        <f>AC96+AD96*$G96+AE96*$H96+AF96*$I96</f>
        <v>-0.70999514006488629</v>
      </c>
      <c r="AA96" s="3">
        <f>Z96*$B$162+$B$161</f>
        <v>6.9150442295423691</v>
      </c>
      <c r="AB96" s="1">
        <v>0</v>
      </c>
      <c r="AC96" s="3">
        <v>0.54283203499999999</v>
      </c>
      <c r="AD96" s="3">
        <v>-0.49819849599999999</v>
      </c>
      <c r="AE96" s="3">
        <v>0.48327922000000001</v>
      </c>
      <c r="AF96" s="3">
        <v>-0.39680633799999998</v>
      </c>
      <c r="AG96" s="3">
        <v>-0.208142891</v>
      </c>
      <c r="AH96" s="3">
        <v>-0.46059810600000001</v>
      </c>
      <c r="AI96" s="3">
        <v>0.220956392</v>
      </c>
      <c r="AJ96" s="3">
        <v>3.1447326999999997E-2</v>
      </c>
      <c r="AK96" s="3">
        <f>AN96+AO96*$G96+AP96*$H96+AQ96*$I96</f>
        <v>-0.77789044404209384</v>
      </c>
      <c r="AL96" s="3">
        <f>AK96*$B$162+$B$161</f>
        <v>6.5294607563595841</v>
      </c>
      <c r="AM96" s="1">
        <v>0</v>
      </c>
      <c r="AN96" s="3">
        <v>-0.25974846699999998</v>
      </c>
      <c r="AO96" s="3">
        <v>-0.46703683299999998</v>
      </c>
      <c r="AP96" s="3">
        <v>9.7003433E-2</v>
      </c>
      <c r="AQ96" s="3">
        <v>7.0833077999999994E-2</v>
      </c>
    </row>
    <row r="97" spans="1:43" x14ac:dyDescent="0.3">
      <c r="A97" s="1">
        <v>13193</v>
      </c>
      <c r="B97" s="3">
        <v>10.1</v>
      </c>
      <c r="C97" s="3">
        <v>65.599999999999895</v>
      </c>
      <c r="D97" s="3">
        <v>0.98</v>
      </c>
      <c r="E97" s="3">
        <v>58.719999999999899</v>
      </c>
      <c r="F97" s="3">
        <f>(B97-B$161)/B$162</f>
        <v>-0.14917354051808179</v>
      </c>
      <c r="G97" s="3">
        <f>(C97-C$161)/C$162</f>
        <v>-0.16953693095770728</v>
      </c>
      <c r="H97" s="3">
        <f>(D97-D$161)/D$162</f>
        <v>-0.12263226144078389</v>
      </c>
      <c r="I97" s="3">
        <f>(E97-E$161)/E$162</f>
        <v>1.8079262692732105</v>
      </c>
      <c r="J97" s="2">
        <v>777055.299999999</v>
      </c>
      <c r="K97" s="1">
        <v>3584821</v>
      </c>
      <c r="L97" s="3">
        <f>O97+P97*$G97+Q97*$H97+R97*$I97</f>
        <v>-0.15200689343543466</v>
      </c>
      <c r="M97" s="3">
        <f>L97*$B$162+$B$161</f>
        <v>10.083909136646737</v>
      </c>
      <c r="N97" s="1">
        <v>0</v>
      </c>
      <c r="O97" s="3">
        <v>-0.29754170299999999</v>
      </c>
      <c r="P97" s="3">
        <v>-0.36655891800000001</v>
      </c>
      <c r="Q97" s="3">
        <v>0.15384221300000001</v>
      </c>
      <c r="R97" s="3">
        <v>5.6559581999999997E-2</v>
      </c>
      <c r="S97" s="3">
        <f>V97+W97*$G97+X97*$H97+Y97*$I97</f>
        <v>-6.1260673008460165E-2</v>
      </c>
      <c r="T97" s="3">
        <f>S97*$B$162+$B$161</f>
        <v>10.599264997814833</v>
      </c>
      <c r="U97" s="1">
        <v>3</v>
      </c>
      <c r="V97" s="3">
        <v>0.57876851500000004</v>
      </c>
      <c r="W97" s="3">
        <v>-0.118666143</v>
      </c>
      <c r="X97" s="3">
        <v>1.1943427209999999</v>
      </c>
      <c r="Y97" s="3">
        <v>-0.28412803199999997</v>
      </c>
      <c r="Z97" s="3">
        <f>AC97+AD97*$G97+AE97*$H97+AF97*$I97</f>
        <v>-0.14936714692065711</v>
      </c>
      <c r="AA97" s="3">
        <f>Z97*$B$162+$B$161</f>
        <v>10.098900492011046</v>
      </c>
      <c r="AB97" s="1">
        <v>0</v>
      </c>
      <c r="AC97" s="3">
        <v>0.54283203499999999</v>
      </c>
      <c r="AD97" s="3">
        <v>-0.49819849599999999</v>
      </c>
      <c r="AE97" s="3">
        <v>0.48327922000000001</v>
      </c>
      <c r="AF97" s="3">
        <v>-0.39680633799999998</v>
      </c>
      <c r="AG97" s="3">
        <v>8.23926E-4</v>
      </c>
      <c r="AH97" s="3">
        <v>-0.31159298299999999</v>
      </c>
      <c r="AI97" s="3">
        <v>0.37664513399999999</v>
      </c>
      <c r="AJ97" s="3">
        <v>-7.3826108000000001E-2</v>
      </c>
      <c r="AK97" s="3">
        <f>AN97+AO97*$G97+AP97*$H97+AQ97*$I97</f>
        <v>-6.4403243595603982E-2</v>
      </c>
      <c r="AL97" s="3">
        <f>AK97*$B$162+$B$161</f>
        <v>10.581418059798033</v>
      </c>
      <c r="AM97" s="1">
        <v>0</v>
      </c>
      <c r="AN97" s="3">
        <v>-0.25974846699999998</v>
      </c>
      <c r="AO97" s="3">
        <v>-0.46703683299999998</v>
      </c>
      <c r="AP97" s="3">
        <v>9.7003433E-2</v>
      </c>
      <c r="AQ97" s="3">
        <v>7.0833077999999994E-2</v>
      </c>
    </row>
    <row r="98" spans="1:43" x14ac:dyDescent="0.3">
      <c r="A98" s="1">
        <v>13195</v>
      </c>
      <c r="B98" s="3">
        <v>9.6999999999999904</v>
      </c>
      <c r="C98" s="3">
        <v>100</v>
      </c>
      <c r="D98" s="3">
        <v>0.81</v>
      </c>
      <c r="E98" s="3">
        <v>8.32</v>
      </c>
      <c r="F98" s="3">
        <f>(B98-B$161)/B$162</f>
        <v>-0.21960737256671156</v>
      </c>
      <c r="G98" s="3">
        <f>(C98-C$161)/C$162</f>
        <v>1.1038758643818527</v>
      </c>
      <c r="H98" s="3">
        <f>(D98-D$161)/D$162</f>
        <v>-0.26057441819252725</v>
      </c>
      <c r="I98" s="3">
        <f>(E98-E$161)/E$162</f>
        <v>-1.1007378794380496</v>
      </c>
      <c r="J98" s="2">
        <v>848638.8</v>
      </c>
      <c r="K98" s="1">
        <v>3785405</v>
      </c>
      <c r="L98" s="3">
        <f>O98+P98*$G98+Q98*$H98+R98*$I98</f>
        <v>-0.27782659616095101</v>
      </c>
      <c r="M98" s="3">
        <f>L98*$B$162+$B$161</f>
        <v>9.3693678483712421</v>
      </c>
      <c r="N98" s="1">
        <v>1</v>
      </c>
      <c r="O98" s="3">
        <v>0.152735132</v>
      </c>
      <c r="P98" s="3">
        <v>-0.40878743200000001</v>
      </c>
      <c r="Q98" s="3">
        <v>0.37351620499999999</v>
      </c>
      <c r="R98" s="3">
        <v>-0.107216824</v>
      </c>
      <c r="S98" s="3">
        <f>V98+W98*$G98+X98*$H98+Y98*$I98</f>
        <v>-0.4500465155585725</v>
      </c>
      <c r="T98" s="3">
        <f>S98*$B$162+$B$161</f>
        <v>8.3913156005326215</v>
      </c>
      <c r="U98" s="1">
        <v>1</v>
      </c>
      <c r="V98" s="3">
        <v>-0.18342203200000001</v>
      </c>
      <c r="W98" s="3">
        <v>-0.17380490200000001</v>
      </c>
      <c r="X98" s="3">
        <v>0.64175570999999998</v>
      </c>
      <c r="Y98" s="3">
        <v>-8.3997902999999999E-2</v>
      </c>
      <c r="Z98" s="3">
        <f>AC98+AD98*$G98+AE98*$H98+AF98*$I98</f>
        <v>-0.56599371825608591</v>
      </c>
      <c r="AA98" s="3">
        <f>Z98*$B$162+$B$161</f>
        <v>7.7328411184543935</v>
      </c>
      <c r="AB98" s="1">
        <v>1</v>
      </c>
      <c r="AC98" s="3">
        <v>-0.27574183299999999</v>
      </c>
      <c r="AD98" s="3">
        <v>-0.23985341199999999</v>
      </c>
      <c r="AE98" s="3">
        <v>0.21363271</v>
      </c>
      <c r="AF98" s="3">
        <v>-2.7421357E-2</v>
      </c>
      <c r="AG98" s="3">
        <v>0.17954050099999999</v>
      </c>
      <c r="AH98" s="3">
        <v>-0.311081312</v>
      </c>
      <c r="AI98" s="3">
        <v>0.71353792500000002</v>
      </c>
      <c r="AJ98" s="3">
        <v>-0.10820381499999999</v>
      </c>
      <c r="AK98" s="3">
        <f>AN98+AO98*$G98+AP98*$H98+AQ98*$I98</f>
        <v>-0.38225553227221681</v>
      </c>
      <c r="AL98" s="3">
        <f>AK98*$B$162+$B$161</f>
        <v>8.7763066272287258</v>
      </c>
      <c r="AM98" s="1">
        <v>2</v>
      </c>
      <c r="AN98" s="3">
        <v>7.5780177000000004E-2</v>
      </c>
      <c r="AO98" s="3">
        <v>-0.16857382100000001</v>
      </c>
      <c r="AP98" s="3">
        <v>0.83152748499999996</v>
      </c>
      <c r="AQ98" s="3">
        <v>5.0217537999999999E-2</v>
      </c>
    </row>
    <row r="99" spans="1:43" x14ac:dyDescent="0.3">
      <c r="A99" s="1">
        <v>13197</v>
      </c>
      <c r="B99" s="3">
        <v>4.5999999999999996</v>
      </c>
      <c r="C99" s="3">
        <v>100</v>
      </c>
      <c r="D99" s="3">
        <v>0.43</v>
      </c>
      <c r="E99" s="3">
        <v>41.32</v>
      </c>
      <c r="F99" s="3">
        <f>(B99-B$161)/B$162</f>
        <v>-1.1176387311867189</v>
      </c>
      <c r="G99" s="3">
        <f>(C99-C$161)/C$162</f>
        <v>1.1038758643818527</v>
      </c>
      <c r="H99" s="3">
        <f>(D99-D$161)/D$162</f>
        <v>-0.56891570975524797</v>
      </c>
      <c r="I99" s="3">
        <f>(E99-E$161)/E$162</f>
        <v>0.8037445988848031</v>
      </c>
      <c r="J99" s="2">
        <v>732876.80000000005</v>
      </c>
      <c r="K99" s="1">
        <v>3584393</v>
      </c>
      <c r="L99" s="3">
        <f>O99+P99*$G99+Q99*$H99+R99*$I99</f>
        <v>-0.7442410387056575</v>
      </c>
      <c r="M99" s="3">
        <f>L99*$B$162+$B$161</f>
        <v>6.7205587236728173</v>
      </c>
      <c r="N99" s="1">
        <v>0</v>
      </c>
      <c r="O99" s="3">
        <v>-0.29754170299999999</v>
      </c>
      <c r="P99" s="3">
        <v>-0.36655891800000001</v>
      </c>
      <c r="Q99" s="3">
        <v>0.15384221300000001</v>
      </c>
      <c r="R99" s="3">
        <v>5.6559581999999997E-2</v>
      </c>
      <c r="S99" s="3">
        <f>V99+W99*$G99+X99*$H99+Y99*$I99</f>
        <v>-0.91814390928961964</v>
      </c>
      <c r="T99" s="3">
        <f>S99*$B$162+$B$161</f>
        <v>5.7329488462837919</v>
      </c>
      <c r="U99" s="1">
        <v>0</v>
      </c>
      <c r="V99" s="3">
        <v>-0.54906074100000002</v>
      </c>
      <c r="W99" s="3">
        <v>-0.34651111899999998</v>
      </c>
      <c r="X99" s="3">
        <v>0.18161730300000001</v>
      </c>
      <c r="Y99" s="3">
        <v>0.14525389</v>
      </c>
      <c r="Z99" s="3">
        <f>AC99+AD99*$G99+AE99*$H99+AF99*$I99</f>
        <v>-0.68408899791586575</v>
      </c>
      <c r="AA99" s="3">
        <f>Z99*$B$162+$B$161</f>
        <v>7.0621675161534672</v>
      </c>
      <c r="AB99" s="1">
        <v>1</v>
      </c>
      <c r="AC99" s="3">
        <v>-0.27574183299999999</v>
      </c>
      <c r="AD99" s="3">
        <v>-0.23985341199999999</v>
      </c>
      <c r="AE99" s="3">
        <v>0.21363271</v>
      </c>
      <c r="AF99" s="3">
        <v>-2.7421357E-2</v>
      </c>
      <c r="AG99" s="3">
        <v>3.6687952000000003E-2</v>
      </c>
      <c r="AH99" s="3">
        <v>-0.327333704</v>
      </c>
      <c r="AI99" s="3">
        <v>0.36387564</v>
      </c>
      <c r="AJ99" s="3">
        <v>-9.5241370000000006E-2</v>
      </c>
      <c r="AK99" s="3">
        <f>AN99+AO99*$G99+AP99*$H99+AQ99*$I99</f>
        <v>-0.77355422779504257</v>
      </c>
      <c r="AL99" s="3">
        <f>AK99*$B$162+$B$161</f>
        <v>6.5540865142996463</v>
      </c>
      <c r="AM99" s="1">
        <v>0</v>
      </c>
      <c r="AN99" s="3">
        <v>-0.25974846699999998</v>
      </c>
      <c r="AO99" s="3">
        <v>-0.46703683299999998</v>
      </c>
      <c r="AP99" s="3">
        <v>9.7003433E-2</v>
      </c>
      <c r="AQ99" s="3">
        <v>7.0833077999999994E-2</v>
      </c>
    </row>
    <row r="100" spans="1:43" x14ac:dyDescent="0.3">
      <c r="A100" s="1">
        <v>13199</v>
      </c>
      <c r="B100" s="3">
        <v>6.7</v>
      </c>
      <c r="C100" s="3">
        <v>82.299999999999898</v>
      </c>
      <c r="D100" s="3">
        <v>0.31</v>
      </c>
      <c r="E100" s="3">
        <v>44.619999999999898</v>
      </c>
      <c r="F100" s="3">
        <f>(B100-B$161)/B$162</f>
        <v>-0.74786111293142088</v>
      </c>
      <c r="G100" s="3">
        <f>(C100-C$161)/C$162</f>
        <v>0.44866055980306563</v>
      </c>
      <c r="H100" s="3">
        <f>(D100-D$161)/D$162</f>
        <v>-0.66628664393294912</v>
      </c>
      <c r="I100" s="3">
        <f>(E100-E$161)/E$162</f>
        <v>0.99419284671708241</v>
      </c>
      <c r="J100" s="2">
        <v>715359.8</v>
      </c>
      <c r="K100" s="1">
        <v>3660275</v>
      </c>
      <c r="L100" s="3">
        <f>O100+P100*$G100+Q100*$H100+R100*$I100</f>
        <v>-0.50827411230796571</v>
      </c>
      <c r="M100" s="3">
        <f>L100*$B$162+$B$161</f>
        <v>8.0606358970106431</v>
      </c>
      <c r="N100" s="1">
        <v>0</v>
      </c>
      <c r="O100" s="3">
        <v>-0.29754170299999999</v>
      </c>
      <c r="P100" s="3">
        <v>-0.36655891800000001</v>
      </c>
      <c r="Q100" s="3">
        <v>0.15384221300000001</v>
      </c>
      <c r="R100" s="3">
        <v>5.6559581999999997E-2</v>
      </c>
      <c r="S100" s="3">
        <f>V100+W100*$G100+X100*$H100+Y100*$I100</f>
        <v>-0.68112541852872022</v>
      </c>
      <c r="T100" s="3">
        <f>S100*$B$162+$B$161</f>
        <v>7.0789979472173306</v>
      </c>
      <c r="U100" s="1">
        <v>0</v>
      </c>
      <c r="V100" s="3">
        <v>-0.54906074100000002</v>
      </c>
      <c r="W100" s="3">
        <v>-0.34651111899999998</v>
      </c>
      <c r="X100" s="3">
        <v>0.18161730300000001</v>
      </c>
      <c r="Y100" s="3">
        <v>0.14525389</v>
      </c>
      <c r="Z100" s="3">
        <f>AC100+AD100*$G100+AE100*$H100+AF100*$I100</f>
        <v>-0.55295733745547171</v>
      </c>
      <c r="AA100" s="3">
        <f>Z100*$B$162+$B$161</f>
        <v>7.8068758851080879</v>
      </c>
      <c r="AB100" s="1">
        <v>1</v>
      </c>
      <c r="AC100" s="3">
        <v>-0.27574183299999999</v>
      </c>
      <c r="AD100" s="3">
        <v>-0.23985341199999999</v>
      </c>
      <c r="AE100" s="3">
        <v>0.21363271</v>
      </c>
      <c r="AF100" s="3">
        <v>-2.7421357E-2</v>
      </c>
      <c r="AG100" s="3">
        <v>0.140171353</v>
      </c>
      <c r="AH100" s="3">
        <v>-0.271888087</v>
      </c>
      <c r="AI100" s="3">
        <v>0.60074800100000003</v>
      </c>
      <c r="AJ100" s="3">
        <v>-0.110794263</v>
      </c>
      <c r="AK100" s="3">
        <f>AN100+AO100*$G100+AP100*$H100+AQ100*$I100</f>
        <v>-0.50396198815731419</v>
      </c>
      <c r="AL100" s="3">
        <f>AK100*$B$162+$B$161</f>
        <v>8.0851248337913333</v>
      </c>
      <c r="AM100" s="1">
        <v>2</v>
      </c>
      <c r="AN100" s="3">
        <v>7.5780177000000004E-2</v>
      </c>
      <c r="AO100" s="3">
        <v>-0.16857382100000001</v>
      </c>
      <c r="AP100" s="3">
        <v>0.83152748499999996</v>
      </c>
      <c r="AQ100" s="3">
        <v>5.0217537999999999E-2</v>
      </c>
    </row>
    <row r="101" spans="1:43" x14ac:dyDescent="0.3">
      <c r="A101" s="1">
        <v>13201</v>
      </c>
      <c r="B101" s="3">
        <v>8.1999999999999904</v>
      </c>
      <c r="C101" s="3">
        <v>100</v>
      </c>
      <c r="D101" s="3">
        <v>0.41</v>
      </c>
      <c r="E101" s="3">
        <v>27.48</v>
      </c>
      <c r="F101" s="3">
        <f>(B101-B$161)/B$162</f>
        <v>-0.48373424274906712</v>
      </c>
      <c r="G101" s="3">
        <f>(C101-C$161)/C$162</f>
        <v>1.1038758643818527</v>
      </c>
      <c r="H101" s="3">
        <f>(D101-D$161)/D$162</f>
        <v>-0.5851441987848649</v>
      </c>
      <c r="I101" s="3">
        <f>(E101-E$161)/E$162</f>
        <v>5.0161897942491152E-3</v>
      </c>
      <c r="J101" s="2">
        <v>716369.8</v>
      </c>
      <c r="K101" s="1">
        <v>3451034</v>
      </c>
      <c r="L101" s="3">
        <f>O101+P101*$G101+Q101*$H101+R101*$I101</f>
        <v>-0.7919134103213068</v>
      </c>
      <c r="M101" s="3">
        <f>L101*$B$162+$B$161</f>
        <v>6.4498230829782388</v>
      </c>
      <c r="N101" s="1">
        <v>0</v>
      </c>
      <c r="O101" s="3">
        <v>-0.29754170299999999</v>
      </c>
      <c r="P101" s="3">
        <v>-0.36655891800000001</v>
      </c>
      <c r="Q101" s="3">
        <v>0.15384221300000001</v>
      </c>
      <c r="R101" s="3">
        <v>5.6559581999999997E-2</v>
      </c>
      <c r="S101" s="3">
        <f>V101+W101*$G101+X101*$H101+Y101*$I101</f>
        <v>-0.73555679128353391</v>
      </c>
      <c r="T101" s="3">
        <f>S101*$B$162+$B$161</f>
        <v>6.7698773375805654</v>
      </c>
      <c r="U101" s="1">
        <v>2</v>
      </c>
      <c r="V101" s="3">
        <v>-0.13655372900000001</v>
      </c>
      <c r="W101" s="3">
        <v>-0.53975352499999996</v>
      </c>
      <c r="X101" s="3">
        <v>6.0196410000000001E-3</v>
      </c>
      <c r="Y101" s="3">
        <v>6.7817348E-2</v>
      </c>
      <c r="Z101" s="3">
        <f>AC101+AD101*$G101+AE101*$H101+AF101*$I101</f>
        <v>-0.66565371715475397</v>
      </c>
      <c r="AA101" s="3">
        <f>Z101*$B$162+$B$161</f>
        <v>7.1668631161224354</v>
      </c>
      <c r="AB101" s="1">
        <v>1</v>
      </c>
      <c r="AC101" s="3">
        <v>-0.27574183299999999</v>
      </c>
      <c r="AD101" s="3">
        <v>-0.23985341199999999</v>
      </c>
      <c r="AE101" s="3">
        <v>0.21363271</v>
      </c>
      <c r="AF101" s="3">
        <v>-2.7421357E-2</v>
      </c>
      <c r="AG101" s="3">
        <v>-0.227059227</v>
      </c>
      <c r="AH101" s="3">
        <v>-0.36342958400000003</v>
      </c>
      <c r="AI101" s="3">
        <v>0.141169409</v>
      </c>
      <c r="AJ101" s="3">
        <v>4.6136177E-2</v>
      </c>
      <c r="AK101" s="3">
        <f>AN101+AO101*$G101+AP101*$H101+AQ101*$I101</f>
        <v>-0.83170483864524547</v>
      </c>
      <c r="AL101" s="3">
        <f>AK101*$B$162+$B$161</f>
        <v>6.2238440205500218</v>
      </c>
      <c r="AM101" s="1">
        <v>0</v>
      </c>
      <c r="AN101" s="3">
        <v>-0.25974846699999998</v>
      </c>
      <c r="AO101" s="3">
        <v>-0.46703683299999998</v>
      </c>
      <c r="AP101" s="3">
        <v>9.7003433E-2</v>
      </c>
      <c r="AQ101" s="3">
        <v>7.0833077999999994E-2</v>
      </c>
    </row>
    <row r="102" spans="1:43" x14ac:dyDescent="0.3">
      <c r="A102" s="1">
        <v>13205</v>
      </c>
      <c r="B102" s="3">
        <v>7.8</v>
      </c>
      <c r="C102" s="3">
        <v>56.2</v>
      </c>
      <c r="D102" s="3">
        <v>0.57999999999999996</v>
      </c>
      <c r="E102" s="3">
        <v>47.909999999999897</v>
      </c>
      <c r="F102" s="3">
        <f>(B102-B$161)/B$162</f>
        <v>-0.55416807479769359</v>
      </c>
      <c r="G102" s="3">
        <f>(C102-C$161)/C$162</f>
        <v>-0.51750438084700057</v>
      </c>
      <c r="H102" s="3">
        <f>(D102-D$161)/D$162</f>
        <v>-0.44720204203312142</v>
      </c>
      <c r="I102" s="3">
        <f>(E102-E$161)/E$162</f>
        <v>1.1840639786468456</v>
      </c>
      <c r="J102" s="2">
        <v>766238.59999999905</v>
      </c>
      <c r="K102" s="1">
        <v>3453930</v>
      </c>
      <c r="L102" s="3">
        <f>O102+P102*$G102+Q102*$H102+R102*$I102</f>
        <v>-0.10967424520743543</v>
      </c>
      <c r="M102" s="3">
        <f>L102*$B$162+$B$161</f>
        <v>10.324320013049272</v>
      </c>
      <c r="N102" s="1">
        <v>0</v>
      </c>
      <c r="O102" s="3">
        <v>-0.29754170299999999</v>
      </c>
      <c r="P102" s="3">
        <v>-0.36655891800000001</v>
      </c>
      <c r="Q102" s="3">
        <v>0.15384221300000001</v>
      </c>
      <c r="R102" s="3">
        <v>5.6559581999999997E-2</v>
      </c>
      <c r="S102" s="3">
        <f>V102+W102*$G102+X102*$H102+Y102*$I102</f>
        <v>-0.27896944876812058</v>
      </c>
      <c r="T102" s="3">
        <f>S102*$B$162+$B$161</f>
        <v>9.3628774867144724</v>
      </c>
      <c r="U102" s="1">
        <v>0</v>
      </c>
      <c r="V102" s="3">
        <v>-0.54906074100000002</v>
      </c>
      <c r="W102" s="3">
        <v>-0.34651111899999998</v>
      </c>
      <c r="X102" s="3">
        <v>0.18161730300000001</v>
      </c>
      <c r="Y102" s="3">
        <v>0.14525389</v>
      </c>
      <c r="Z102" s="3">
        <f>AC102+AD102*$G102+AE102*$H102+AF102*$I102</f>
        <v>-0.27962226675528462</v>
      </c>
      <c r="AA102" s="3">
        <f>Z102*$B$162+$B$161</f>
        <v>9.3591700752721216</v>
      </c>
      <c r="AB102" s="1">
        <v>1</v>
      </c>
      <c r="AC102" s="3">
        <v>-0.27574183299999999</v>
      </c>
      <c r="AD102" s="3">
        <v>-0.23985341199999999</v>
      </c>
      <c r="AE102" s="3">
        <v>0.21363271</v>
      </c>
      <c r="AF102" s="3">
        <v>-2.7421357E-2</v>
      </c>
      <c r="AG102" s="3">
        <v>-0.26418043099999999</v>
      </c>
      <c r="AH102" s="3">
        <v>-0.36536708699999998</v>
      </c>
      <c r="AI102" s="3">
        <v>0.14107847100000001</v>
      </c>
      <c r="AJ102" s="3">
        <v>7.5362330000000005E-2</v>
      </c>
      <c r="AK102" s="3">
        <f>AN102+AO102*$G102+AP102*$H102+AQ102*$I102</f>
        <v>2.2435902929068267E-2</v>
      </c>
      <c r="AL102" s="3">
        <f>AK102*$B$162+$B$161</f>
        <v>11.074585300590599</v>
      </c>
      <c r="AM102" s="1">
        <v>0</v>
      </c>
      <c r="AN102" s="3">
        <v>-0.25974846699999998</v>
      </c>
      <c r="AO102" s="3">
        <v>-0.46703683299999998</v>
      </c>
      <c r="AP102" s="3">
        <v>9.7003433E-2</v>
      </c>
      <c r="AQ102" s="3">
        <v>7.0833077999999994E-2</v>
      </c>
    </row>
    <row r="103" spans="1:43" x14ac:dyDescent="0.3">
      <c r="A103" s="1">
        <v>13207</v>
      </c>
      <c r="B103" s="3">
        <v>12.9</v>
      </c>
      <c r="C103" s="3">
        <v>75.099999999999895</v>
      </c>
      <c r="D103" s="3">
        <v>0.93</v>
      </c>
      <c r="E103" s="3">
        <v>31.78</v>
      </c>
      <c r="F103" s="3">
        <f>(B103-B$161)/B$162</f>
        <v>0.34386328382231535</v>
      </c>
      <c r="G103" s="3">
        <f>(C103-C$161)/C$162</f>
        <v>0.18213230031339103</v>
      </c>
      <c r="H103" s="3">
        <f>(D103-D$161)/D$162</f>
        <v>-0.16320348401482601</v>
      </c>
      <c r="I103" s="3">
        <f>(E103-E$161)/E$162</f>
        <v>0.25317602787874205</v>
      </c>
      <c r="J103" s="2">
        <v>790338.69999999902</v>
      </c>
      <c r="K103" s="1">
        <v>3660608</v>
      </c>
      <c r="L103" s="3">
        <f>O103+P103*$G103+Q103*$H103+R103*$I103</f>
        <v>-9.8221389434540729E-3</v>
      </c>
      <c r="M103" s="3">
        <f>L103*$B$162+$B$161</f>
        <v>10.891389010204177</v>
      </c>
      <c r="N103" s="1">
        <v>1</v>
      </c>
      <c r="O103" s="3">
        <v>0.152735132</v>
      </c>
      <c r="P103" s="3">
        <v>-0.40878743200000001</v>
      </c>
      <c r="Q103" s="3">
        <v>0.37351620499999999</v>
      </c>
      <c r="R103" s="3">
        <v>-0.107216824</v>
      </c>
      <c r="S103" s="3">
        <f>V103+W103*$G103+X103*$H103+Y103*$I103</f>
        <v>0.2903002776803808</v>
      </c>
      <c r="T103" s="3">
        <f>S103*$B$162+$B$161</f>
        <v>12.595810921632353</v>
      </c>
      <c r="U103" s="1">
        <v>3</v>
      </c>
      <c r="V103" s="3">
        <v>0.57876851500000004</v>
      </c>
      <c r="W103" s="3">
        <v>-0.118666143</v>
      </c>
      <c r="X103" s="3">
        <v>1.1943427209999999</v>
      </c>
      <c r="Y103" s="3">
        <v>-0.28412803199999997</v>
      </c>
      <c r="Z103" s="3">
        <f>AC103+AD103*$G103+AE103*$H103+AF103*$I103</f>
        <v>0.27275929196293114</v>
      </c>
      <c r="AA103" s="3">
        <f>Z103*$B$162+$B$161</f>
        <v>12.496194102798249</v>
      </c>
      <c r="AB103" s="1">
        <v>0</v>
      </c>
      <c r="AC103" s="3">
        <v>0.54283203499999999</v>
      </c>
      <c r="AD103" s="3">
        <v>-0.49819849599999999</v>
      </c>
      <c r="AE103" s="3">
        <v>0.48327922000000001</v>
      </c>
      <c r="AF103" s="3">
        <v>-0.39680633799999998</v>
      </c>
      <c r="AG103" s="3">
        <v>0.18253082400000001</v>
      </c>
      <c r="AH103" s="3">
        <v>-0.265761568</v>
      </c>
      <c r="AI103" s="3">
        <v>0.64189181500000003</v>
      </c>
      <c r="AJ103" s="3">
        <v>-0.16026663799999999</v>
      </c>
      <c r="AK103" s="3">
        <f>AN103+AO103*$G103+AP103*$H103+AQ103*$I103</f>
        <v>-0.34270902062190467</v>
      </c>
      <c r="AL103" s="3">
        <f>AK103*$B$162+$B$161</f>
        <v>9.0008947860726689</v>
      </c>
      <c r="AM103" s="1">
        <v>0</v>
      </c>
      <c r="AN103" s="3">
        <v>-0.25974846699999998</v>
      </c>
      <c r="AO103" s="3">
        <v>-0.46703683299999998</v>
      </c>
      <c r="AP103" s="3">
        <v>9.7003433E-2</v>
      </c>
      <c r="AQ103" s="3">
        <v>7.0833077999999994E-2</v>
      </c>
    </row>
    <row r="104" spans="1:43" x14ac:dyDescent="0.3">
      <c r="A104" s="1">
        <v>13209</v>
      </c>
      <c r="B104" s="3">
        <v>10.1</v>
      </c>
      <c r="C104" s="3">
        <v>98.599999999999895</v>
      </c>
      <c r="D104" s="3">
        <v>1.44</v>
      </c>
      <c r="E104" s="3">
        <v>28.27</v>
      </c>
      <c r="F104" s="3">
        <f>(B104-B$161)/B$162</f>
        <v>-0.14917354051808179</v>
      </c>
      <c r="G104" s="3">
        <f>(C104-C$161)/C$162</f>
        <v>1.0520509250366343</v>
      </c>
      <c r="H104" s="3">
        <f>(D104-D$161)/D$162</f>
        <v>0.25062298624040419</v>
      </c>
      <c r="I104" s="3">
        <f>(E104-E$161)/E$162</f>
        <v>5.0608346093493115E-2</v>
      </c>
      <c r="J104" s="2">
        <v>920887.4</v>
      </c>
      <c r="K104" s="1">
        <v>3568473</v>
      </c>
      <c r="L104" s="3">
        <f>O104+P104*$G104+Q104*$H104+R104*$I104</f>
        <v>-0.18914438340870443</v>
      </c>
      <c r="M104" s="3">
        <f>L104*$B$162+$B$161</f>
        <v>9.8730020262817639</v>
      </c>
      <c r="N104" s="1">
        <v>1</v>
      </c>
      <c r="O104" s="3">
        <v>0.152735132</v>
      </c>
      <c r="P104" s="3">
        <v>-0.40878743200000001</v>
      </c>
      <c r="Q104" s="3">
        <v>0.37351620499999999</v>
      </c>
      <c r="R104" s="3">
        <v>-0.107216824</v>
      </c>
      <c r="S104" s="3">
        <f>V104+W104*$G104+X104*$H104+Y104*$I104</f>
        <v>-0.69946114004579218</v>
      </c>
      <c r="T104" s="3">
        <f>S104*$B$162+$B$161</f>
        <v>6.9748677530548839</v>
      </c>
      <c r="U104" s="1">
        <v>2</v>
      </c>
      <c r="V104" s="3">
        <v>-0.13655372900000001</v>
      </c>
      <c r="W104" s="3">
        <v>-0.53975352499999996</v>
      </c>
      <c r="X104" s="3">
        <v>6.0196410000000001E-3</v>
      </c>
      <c r="Y104" s="3">
        <v>6.7817348E-2</v>
      </c>
      <c r="Z104" s="3">
        <f>AC104+AD104*$G104+AE104*$H104+AF104*$I104</f>
        <v>0.11974101525007765</v>
      </c>
      <c r="AA104" s="3">
        <f>Z104*$B$162+$B$161</f>
        <v>11.627189692490383</v>
      </c>
      <c r="AB104" s="1">
        <v>0</v>
      </c>
      <c r="AC104" s="3">
        <v>0.54283203499999999</v>
      </c>
      <c r="AD104" s="3">
        <v>-0.49819849599999999</v>
      </c>
      <c r="AE104" s="3">
        <v>0.48327922000000001</v>
      </c>
      <c r="AF104" s="3">
        <v>-0.39680633799999998</v>
      </c>
      <c r="AG104" s="3">
        <v>-0.18235843800000001</v>
      </c>
      <c r="AH104" s="3">
        <v>-0.39249067999999998</v>
      </c>
      <c r="AI104" s="3">
        <v>0.30162477399999998</v>
      </c>
      <c r="AJ104" s="3">
        <v>2.0220858000000001E-2</v>
      </c>
      <c r="AK104" s="3">
        <f>AN104+AO104*$G104+AP104*$H104+AQ104*$I104</f>
        <v>0.10937326065473001</v>
      </c>
      <c r="AL104" s="3">
        <f>AK104*$B$162+$B$161</f>
        <v>11.568310291533244</v>
      </c>
      <c r="AM104" s="1">
        <v>2</v>
      </c>
      <c r="AN104" s="3">
        <v>7.5780177000000004E-2</v>
      </c>
      <c r="AO104" s="3">
        <v>-0.16857382100000001</v>
      </c>
      <c r="AP104" s="3">
        <v>0.83152748499999996</v>
      </c>
      <c r="AQ104" s="3">
        <v>5.0217537999999999E-2</v>
      </c>
    </row>
    <row r="105" spans="1:43" x14ac:dyDescent="0.3">
      <c r="A105" s="1">
        <v>13211</v>
      </c>
      <c r="B105" s="3">
        <v>11</v>
      </c>
      <c r="C105" s="3">
        <v>73</v>
      </c>
      <c r="D105" s="3">
        <v>0.83</v>
      </c>
      <c r="E105" s="3">
        <v>34.74</v>
      </c>
      <c r="F105" s="3">
        <f>(B105-B$161)/B$162</f>
        <v>9.3025815913316059E-3</v>
      </c>
      <c r="G105" s="3">
        <f>(C105-C$161)/C$162</f>
        <v>0.10439489129557319</v>
      </c>
      <c r="H105" s="3">
        <f>(D105-D$161)/D$162</f>
        <v>-0.24434592916291045</v>
      </c>
      <c r="I105" s="3">
        <f>(E105-E$161)/E$162</f>
        <v>0.42400233502527679</v>
      </c>
      <c r="J105" s="2">
        <v>825920.09999999905</v>
      </c>
      <c r="K105" s="1">
        <v>3717990</v>
      </c>
      <c r="L105" s="3">
        <f>O105+P105*$G105+Q105*$H105+R105*$I105</f>
        <v>-2.6667535424759803E-2</v>
      </c>
      <c r="M105" s="3">
        <f>L105*$B$162+$B$161</f>
        <v>10.795722504541526</v>
      </c>
      <c r="N105" s="1">
        <v>1</v>
      </c>
      <c r="O105" s="3">
        <v>0.152735132</v>
      </c>
      <c r="P105" s="3">
        <v>-0.40878743200000001</v>
      </c>
      <c r="Q105" s="3">
        <v>0.37351620499999999</v>
      </c>
      <c r="R105" s="3">
        <v>-0.107216824</v>
      </c>
      <c r="S105" s="3">
        <f>V105+W105*$G105+X105*$H105+Y105*$I105</f>
        <v>0.15407664498520982</v>
      </c>
      <c r="T105" s="3">
        <f>S105*$B$162+$B$161</f>
        <v>11.822184789229841</v>
      </c>
      <c r="U105" s="1">
        <v>3</v>
      </c>
      <c r="V105" s="3">
        <v>0.57876851500000004</v>
      </c>
      <c r="W105" s="3">
        <v>-0.118666143</v>
      </c>
      <c r="X105" s="3">
        <v>1.1943427209999999</v>
      </c>
      <c r="Y105" s="3">
        <v>-0.28412803199999997</v>
      </c>
      <c r="Z105" s="3">
        <f>AC105+AD105*$G105+AE105*$H105+AF105*$I105</f>
        <v>0.20448853324560612</v>
      </c>
      <c r="AA105" s="3">
        <f>Z105*$B$162+$B$161</f>
        <v>12.108478388735211</v>
      </c>
      <c r="AB105" s="1">
        <v>0</v>
      </c>
      <c r="AC105" s="3">
        <v>0.54283203499999999</v>
      </c>
      <c r="AD105" s="3">
        <v>-0.49819849599999999</v>
      </c>
      <c r="AE105" s="3">
        <v>0.48327922000000001</v>
      </c>
      <c r="AF105" s="3">
        <v>-0.39680633799999998</v>
      </c>
      <c r="AG105" s="3">
        <v>0.20679194000000001</v>
      </c>
      <c r="AH105" s="3">
        <v>-0.28934532499999999</v>
      </c>
      <c r="AI105" s="3">
        <v>0.71604752100000002</v>
      </c>
      <c r="AJ105" s="3">
        <v>-0.14566821499999999</v>
      </c>
      <c r="AK105" s="3">
        <f>AN105+AO105*$G105+AP105*$H105+AQ105*$I105</f>
        <v>-0.12370607129417691</v>
      </c>
      <c r="AL105" s="3">
        <f>AK105*$B$162+$B$161</f>
        <v>10.244632024032551</v>
      </c>
      <c r="AM105" s="1">
        <v>2</v>
      </c>
      <c r="AN105" s="3">
        <v>7.5780177000000004E-2</v>
      </c>
      <c r="AO105" s="3">
        <v>-0.16857382100000001</v>
      </c>
      <c r="AP105" s="3">
        <v>0.83152748499999996</v>
      </c>
      <c r="AQ105" s="3">
        <v>5.0217537999999999E-2</v>
      </c>
    </row>
    <row r="106" spans="1:43" x14ac:dyDescent="0.3">
      <c r="A106" s="1">
        <v>13213</v>
      </c>
      <c r="B106" s="3">
        <v>5.5</v>
      </c>
      <c r="C106" s="3">
        <v>89</v>
      </c>
      <c r="D106" s="3">
        <v>0.5</v>
      </c>
      <c r="E106" s="3">
        <v>0.26</v>
      </c>
      <c r="F106" s="3">
        <f>(B106-B$161)/B$162</f>
        <v>-0.95916260907730544</v>
      </c>
      <c r="G106" s="3">
        <f>(C106-C$161)/C$162</f>
        <v>0.69667991238373883</v>
      </c>
      <c r="H106" s="3">
        <f>(D106-D$161)/D$162</f>
        <v>-0.51211599815158881</v>
      </c>
      <c r="I106" s="3">
        <f>(E106-E$161)/E$162</f>
        <v>-1.5658932968708432</v>
      </c>
      <c r="J106" s="2">
        <v>707834.3</v>
      </c>
      <c r="K106" s="1">
        <v>3854188</v>
      </c>
      <c r="L106" s="3">
        <f>O106+P106*$G106+Q106*$H106+R106*$I106</f>
        <v>-0.72026726667167917</v>
      </c>
      <c r="M106" s="3">
        <f>L106*$B$162+$B$161</f>
        <v>6.8567079084420151</v>
      </c>
      <c r="N106" s="1">
        <v>0</v>
      </c>
      <c r="O106" s="3">
        <v>-0.29754170299999999</v>
      </c>
      <c r="P106" s="3">
        <v>-0.36655891800000001</v>
      </c>
      <c r="Q106" s="3">
        <v>0.15384221300000001</v>
      </c>
      <c r="R106" s="3">
        <v>5.6559581999999997E-2</v>
      </c>
      <c r="S106" s="3">
        <f>V106+W106*$G106+X106*$H106+Y106*$I106</f>
        <v>-0.50163002863444861</v>
      </c>
      <c r="T106" s="3">
        <f>S106*$B$162+$B$161</f>
        <v>8.0983682394390932</v>
      </c>
      <c r="U106" s="1">
        <v>1</v>
      </c>
      <c r="V106" s="3">
        <v>-0.18342203200000001</v>
      </c>
      <c r="W106" s="3">
        <v>-0.17380490200000001</v>
      </c>
      <c r="X106" s="3">
        <v>0.64175570999999998</v>
      </c>
      <c r="Y106" s="3">
        <v>-8.3997902999999999E-2</v>
      </c>
      <c r="Z106" s="3">
        <f>AC106+AD106*$G106+AE106*$H106+AF106*$I106</f>
        <v>-0.50930869645917731</v>
      </c>
      <c r="AA106" s="3">
        <f>Z106*$B$162+$B$161</f>
        <v>8.0547604015498973</v>
      </c>
      <c r="AB106" s="1">
        <v>1</v>
      </c>
      <c r="AC106" s="3">
        <v>-0.27574183299999999</v>
      </c>
      <c r="AD106" s="3">
        <v>-0.23985341199999999</v>
      </c>
      <c r="AE106" s="3">
        <v>0.21363271</v>
      </c>
      <c r="AF106" s="3">
        <v>-2.7421357E-2</v>
      </c>
      <c r="AG106" s="3">
        <v>0.12764086899999999</v>
      </c>
      <c r="AH106" s="3">
        <v>-0.270114835</v>
      </c>
      <c r="AI106" s="3">
        <v>0.72848947500000005</v>
      </c>
      <c r="AJ106" s="3">
        <v>-4.2315943000000002E-2</v>
      </c>
      <c r="AK106" s="3">
        <f>AN106+AO106*$G106+AP106*$H106+AQ106*$I106</f>
        <v>-0.54613565195528424</v>
      </c>
      <c r="AL106" s="3">
        <f>AK106*$B$162+$B$161</f>
        <v>7.8456168441147067</v>
      </c>
      <c r="AM106" s="1">
        <v>2</v>
      </c>
      <c r="AN106" s="3">
        <v>7.5780177000000004E-2</v>
      </c>
      <c r="AO106" s="3">
        <v>-0.16857382100000001</v>
      </c>
      <c r="AP106" s="3">
        <v>0.83152748499999996</v>
      </c>
      <c r="AQ106" s="3">
        <v>5.0217537999999999E-2</v>
      </c>
    </row>
    <row r="107" spans="1:43" x14ac:dyDescent="0.3">
      <c r="A107" s="1">
        <v>13215</v>
      </c>
      <c r="B107" s="3">
        <v>16.600000000000001</v>
      </c>
      <c r="C107" s="3">
        <v>3.2</v>
      </c>
      <c r="D107" s="3">
        <v>3.4</v>
      </c>
      <c r="E107" s="3">
        <v>37.950000000000003</v>
      </c>
      <c r="F107" s="3">
        <f>(B107-B$161)/B$162</f>
        <v>0.99537623027212585</v>
      </c>
      <c r="G107" s="3">
        <f>(C107-C$161)/C$162</f>
        <v>-2.4794485132015489</v>
      </c>
      <c r="H107" s="3">
        <f>(D107-D$161)/D$162</f>
        <v>1.841014911142858</v>
      </c>
      <c r="I107" s="3">
        <f>(E107-E$161)/E$162</f>
        <v>0.60925653973486338</v>
      </c>
      <c r="J107" s="2">
        <v>700833.69999999902</v>
      </c>
      <c r="K107" s="1">
        <v>3598228</v>
      </c>
      <c r="L107" s="3">
        <f>O107+P107*$G107+Q107*$H107+R107*$I107</f>
        <v>0.92900736455025423</v>
      </c>
      <c r="M107" s="3">
        <f>L107*$B$162+$B$161</f>
        <v>16.223085305504604</v>
      </c>
      <c r="N107" s="1">
        <v>0</v>
      </c>
      <c r="O107" s="3">
        <v>-0.29754170299999999</v>
      </c>
      <c r="P107" s="3">
        <v>-0.36655891800000001</v>
      </c>
      <c r="Q107" s="3">
        <v>0.15384221300000001</v>
      </c>
      <c r="R107" s="3">
        <v>5.6559581999999997E-2</v>
      </c>
      <c r="S107" s="3">
        <f>V107+W107*$G107+X107*$H107+Y107*$I107</f>
        <v>0.73295278316133383</v>
      </c>
      <c r="T107" s="3">
        <f>S107*$B$162+$B$161</f>
        <v>15.109673891208349</v>
      </c>
      <c r="U107" s="1">
        <v>0</v>
      </c>
      <c r="V107" s="3">
        <v>-0.54906074100000002</v>
      </c>
      <c r="W107" s="3">
        <v>-0.34651111899999998</v>
      </c>
      <c r="X107" s="3">
        <v>0.18161730300000001</v>
      </c>
      <c r="Y107" s="3">
        <v>0.14525389</v>
      </c>
      <c r="Z107" s="3">
        <f>AC107+AD107*$G107+AE107*$H107+AF107*$I107</f>
        <v>0.69555671630692217</v>
      </c>
      <c r="AA107" s="3">
        <f>Z107*$B$162+$B$161</f>
        <v>14.897298299725023</v>
      </c>
      <c r="AB107" s="1">
        <v>1</v>
      </c>
      <c r="AC107" s="3">
        <v>-0.27574183299999999</v>
      </c>
      <c r="AD107" s="3">
        <v>-0.23985341199999999</v>
      </c>
      <c r="AE107" s="3">
        <v>0.21363271</v>
      </c>
      <c r="AF107" s="3">
        <v>-2.7421357E-2</v>
      </c>
      <c r="AG107" s="3">
        <v>7.3452922000000004E-2</v>
      </c>
      <c r="AH107" s="3">
        <v>-0.32653241500000002</v>
      </c>
      <c r="AI107" s="3">
        <v>0.40182253699999998</v>
      </c>
      <c r="AJ107" s="3">
        <v>-0.10494563699999999</v>
      </c>
      <c r="AK107" s="3">
        <f>AN107+AO107*$G107+AP107*$H107+AQ107*$I107</f>
        <v>1.119985596778307</v>
      </c>
      <c r="AL107" s="3">
        <f>AK107*$B$162+$B$161</f>
        <v>17.307667681179975</v>
      </c>
      <c r="AM107" s="1">
        <v>0</v>
      </c>
      <c r="AN107" s="3">
        <v>-0.25974846699999998</v>
      </c>
      <c r="AO107" s="3">
        <v>-0.46703683299999998</v>
      </c>
      <c r="AP107" s="3">
        <v>9.7003433E-2</v>
      </c>
      <c r="AQ107" s="3">
        <v>7.0833077999999994E-2</v>
      </c>
    </row>
    <row r="108" spans="1:43" x14ac:dyDescent="0.3">
      <c r="A108" s="1">
        <v>13217</v>
      </c>
      <c r="B108" s="3">
        <v>9.5</v>
      </c>
      <c r="C108" s="3">
        <v>76</v>
      </c>
      <c r="D108" s="3">
        <v>0.78</v>
      </c>
      <c r="E108" s="3">
        <v>22.35</v>
      </c>
      <c r="F108" s="3">
        <f>(B108-B$161)/B$162</f>
        <v>-0.25482428859102396</v>
      </c>
      <c r="G108" s="3">
        <f>(C108-C$161)/C$162</f>
        <v>0.21544833274960423</v>
      </c>
      <c r="H108" s="3">
        <f>(D108-D$161)/D$162</f>
        <v>-0.28491715173695259</v>
      </c>
      <c r="I108" s="3">
        <f>(E108-E$161)/E$162</f>
        <v>-0.29104426819957613</v>
      </c>
      <c r="J108" s="2">
        <v>793263.9</v>
      </c>
      <c r="K108" s="1">
        <v>3719734</v>
      </c>
      <c r="L108" s="3">
        <f>O108+P108*$G108+Q108*$H108+R108*$I108</f>
        <v>-1.0553769849825156E-2</v>
      </c>
      <c r="M108" s="3">
        <f>L108*$B$162+$B$161</f>
        <v>10.887234013180214</v>
      </c>
      <c r="N108" s="1">
        <v>1</v>
      </c>
      <c r="O108" s="3">
        <v>0.152735132</v>
      </c>
      <c r="P108" s="3">
        <v>-0.40878743200000001</v>
      </c>
      <c r="Q108" s="3">
        <v>0.37351620499999999</v>
      </c>
      <c r="R108" s="3">
        <v>-0.107216824</v>
      </c>
      <c r="S108" s="3">
        <f>V108+W108*$G108+X108*$H108+Y108*$I108</f>
        <v>-0.37926810915480014</v>
      </c>
      <c r="T108" s="3">
        <f>S108*$B$162+$B$161</f>
        <v>8.7932724689586159</v>
      </c>
      <c r="U108" s="1">
        <v>1</v>
      </c>
      <c r="V108" s="3">
        <v>-0.18342203200000001</v>
      </c>
      <c r="W108" s="3">
        <v>-0.17380490200000001</v>
      </c>
      <c r="X108" s="3">
        <v>0.64175570999999998</v>
      </c>
      <c r="Y108" s="3">
        <v>-8.3997902999999999E-2</v>
      </c>
      <c r="Z108" s="3">
        <f>AC108+AD108*$G108+AE108*$H108+AF108*$I108</f>
        <v>-0.38030464518964596</v>
      </c>
      <c r="AA108" s="3">
        <f>Z108*$B$162+$B$161</f>
        <v>8.7873858885770169</v>
      </c>
      <c r="AB108" s="1">
        <v>1</v>
      </c>
      <c r="AC108" s="3">
        <v>-0.27574183299999999</v>
      </c>
      <c r="AD108" s="3">
        <v>-0.23985341199999999</v>
      </c>
      <c r="AE108" s="3">
        <v>0.21363271</v>
      </c>
      <c r="AF108" s="3">
        <v>-2.7421357E-2</v>
      </c>
      <c r="AG108" s="3">
        <v>0.181104077</v>
      </c>
      <c r="AH108" s="3">
        <v>-0.28809906400000002</v>
      </c>
      <c r="AI108" s="3">
        <v>0.70326497700000001</v>
      </c>
      <c r="AJ108" s="3">
        <v>-0.11982898</v>
      </c>
      <c r="AK108" s="3">
        <f>AN108+AO108*$G108+AP108*$H108+AQ108*$I108</f>
        <v>-0.21207074089486616</v>
      </c>
      <c r="AL108" s="3">
        <f>AK108*$B$162+$B$161</f>
        <v>9.7428012019373895</v>
      </c>
      <c r="AM108" s="1">
        <v>2</v>
      </c>
      <c r="AN108" s="3">
        <v>7.5780177000000004E-2</v>
      </c>
      <c r="AO108" s="3">
        <v>-0.16857382100000001</v>
      </c>
      <c r="AP108" s="3">
        <v>0.83152748499999996</v>
      </c>
      <c r="AQ108" s="3">
        <v>5.0217537999999999E-2</v>
      </c>
    </row>
    <row r="109" spans="1:43" x14ac:dyDescent="0.3">
      <c r="A109" s="1">
        <v>13219</v>
      </c>
      <c r="B109" s="3">
        <v>28.399999999999899</v>
      </c>
      <c r="C109" s="3">
        <v>95.2</v>
      </c>
      <c r="D109" s="3">
        <v>0.98</v>
      </c>
      <c r="E109" s="3">
        <v>7.37</v>
      </c>
      <c r="F109" s="3">
        <f>(B109-B$161)/B$162</f>
        <v>3.0731742757066387</v>
      </c>
      <c r="G109" s="3">
        <f>(C109-C$161)/C$162</f>
        <v>0.92619035805540306</v>
      </c>
      <c r="H109" s="3">
        <f>(D109-D$161)/D$162</f>
        <v>-0.12263226144078389</v>
      </c>
      <c r="I109" s="3">
        <f>(E109-E$161)/E$162</f>
        <v>-1.1555638901776468</v>
      </c>
      <c r="J109" s="2">
        <v>830735.9</v>
      </c>
      <c r="K109" s="1">
        <v>3750903</v>
      </c>
      <c r="L109" s="3">
        <f>O109+P109*$G109+Q109*$H109+R109*$I109</f>
        <v>3.0731742763298531</v>
      </c>
      <c r="M109" s="3">
        <f>L109*$B$162+$B$161</f>
        <v>28.400000003539191</v>
      </c>
      <c r="N109" s="1">
        <v>3</v>
      </c>
      <c r="O109" s="3">
        <v>3.464735669</v>
      </c>
      <c r="P109" s="3">
        <v>-0.26368915900000001</v>
      </c>
      <c r="Q109" s="3">
        <v>0.259952085</v>
      </c>
      <c r="R109" s="3">
        <v>9.9913579000000002E-2</v>
      </c>
      <c r="S109" s="3">
        <f>V109+W109*$G109+X109*$H109+Y109*$I109</f>
        <v>0.65072422268064611</v>
      </c>
      <c r="T109" s="3">
        <f>S109*$B$162+$B$161</f>
        <v>14.642690578848365</v>
      </c>
      <c r="U109" s="1">
        <v>3</v>
      </c>
      <c r="V109" s="3">
        <v>0.57876851500000004</v>
      </c>
      <c r="W109" s="3">
        <v>-0.118666143</v>
      </c>
      <c r="X109" s="3">
        <v>1.1943427209999999</v>
      </c>
      <c r="Y109" s="3">
        <v>-0.28412803199999997</v>
      </c>
      <c r="Z109" s="3">
        <f>AC109+AD109*$G109+AE109*$H109+AF109*$I109</f>
        <v>0.48067484353758477</v>
      </c>
      <c r="AA109" s="3">
        <f>Z109*$B$162+$B$161</f>
        <v>13.676965022268353</v>
      </c>
      <c r="AB109" s="1">
        <v>0</v>
      </c>
      <c r="AC109" s="3">
        <v>0.54283203499999999</v>
      </c>
      <c r="AD109" s="3">
        <v>-0.49819849599999999</v>
      </c>
      <c r="AE109" s="3">
        <v>0.48327922000000001</v>
      </c>
      <c r="AF109" s="3">
        <v>-0.39680633799999998</v>
      </c>
      <c r="AG109" s="3">
        <v>0.19199707799999999</v>
      </c>
      <c r="AH109" s="3">
        <v>-0.307113252</v>
      </c>
      <c r="AI109" s="3">
        <v>0.71330395099999999</v>
      </c>
      <c r="AJ109" s="3">
        <v>-0.121811883</v>
      </c>
      <c r="AK109" s="3">
        <f>AN109+AO109*$G109+AP109*$H109+AQ109*$I109</f>
        <v>3.0731742760143295</v>
      </c>
      <c r="AL109" s="3">
        <f>AK109*$B$162+$B$161</f>
        <v>28.400000001747308</v>
      </c>
      <c r="AM109" s="1">
        <v>3</v>
      </c>
      <c r="AN109" s="3">
        <v>0.270513385</v>
      </c>
      <c r="AO109" s="3">
        <v>0.44600872000000003</v>
      </c>
      <c r="AP109" s="3">
        <v>1.890151015</v>
      </c>
      <c r="AQ109" s="3">
        <v>-2.2684729340000001</v>
      </c>
    </row>
    <row r="110" spans="1:43" x14ac:dyDescent="0.3">
      <c r="A110" s="1">
        <v>13221</v>
      </c>
      <c r="B110" s="3">
        <v>12.8</v>
      </c>
      <c r="C110" s="3">
        <v>100</v>
      </c>
      <c r="D110" s="3">
        <v>0.62</v>
      </c>
      <c r="E110" s="3">
        <v>24.739999999999899</v>
      </c>
      <c r="F110" s="3">
        <f>(B110-B$161)/B$162</f>
        <v>0.32625482581015841</v>
      </c>
      <c r="G110" s="3">
        <f>(C110-C$161)/C$162</f>
        <v>1.1038758643818527</v>
      </c>
      <c r="H110" s="3">
        <f>(D110-D$161)/D$162</f>
        <v>-0.41474506397388761</v>
      </c>
      <c r="I110" s="3">
        <f>(E110-E$161)/E$162</f>
        <v>-0.15311356749680571</v>
      </c>
      <c r="J110" s="2">
        <v>863291.8</v>
      </c>
      <c r="K110" s="1">
        <v>3756777</v>
      </c>
      <c r="L110" s="3">
        <f>O110+P110*$G110+Q110*$H110+R110*$I110</f>
        <v>-0.43701309976712943</v>
      </c>
      <c r="M110" s="3">
        <f>L110*$B$162+$B$161</f>
        <v>8.4653335286353819</v>
      </c>
      <c r="N110" s="1">
        <v>1</v>
      </c>
      <c r="O110" s="3">
        <v>0.152735132</v>
      </c>
      <c r="P110" s="3">
        <v>-0.40878743200000001</v>
      </c>
      <c r="Q110" s="3">
        <v>0.37351620499999999</v>
      </c>
      <c r="R110" s="3">
        <v>-0.107216824</v>
      </c>
      <c r="S110" s="3">
        <f>V110+W110*$G110+X110*$H110+Y110*$I110</f>
        <v>-4.0680677995108827E-3</v>
      </c>
      <c r="T110" s="3">
        <f>S110*$B$162+$B$161</f>
        <v>10.924066892276363</v>
      </c>
      <c r="U110" s="1">
        <v>3</v>
      </c>
      <c r="V110" s="3">
        <v>0.57876851500000004</v>
      </c>
      <c r="W110" s="3">
        <v>-0.118666143</v>
      </c>
      <c r="X110" s="3">
        <v>1.1943427209999999</v>
      </c>
      <c r="Y110" s="3">
        <v>-0.28412803199999997</v>
      </c>
      <c r="Z110" s="3">
        <f>AC110+AD110*$G110+AE110*$H110+AF110*$I110</f>
        <v>-0.14679849740536621</v>
      </c>
      <c r="AA110" s="3">
        <f>Z110*$B$162+$B$161</f>
        <v>10.113488081188459</v>
      </c>
      <c r="AB110" s="1">
        <v>0</v>
      </c>
      <c r="AC110" s="3">
        <v>0.54283203499999999</v>
      </c>
      <c r="AD110" s="3">
        <v>-0.49819849599999999</v>
      </c>
      <c r="AE110" s="3">
        <v>0.48327922000000001</v>
      </c>
      <c r="AF110" s="3">
        <v>-0.39680633799999998</v>
      </c>
      <c r="AG110" s="3">
        <v>0.198414061</v>
      </c>
      <c r="AH110" s="3">
        <v>-0.31261915099999998</v>
      </c>
      <c r="AI110" s="3">
        <v>0.70896749699999995</v>
      </c>
      <c r="AJ110" s="3">
        <v>-0.13529095999999999</v>
      </c>
      <c r="AK110" s="3">
        <f>AN110+AO110*$G110+AP110*$H110+AQ110*$I110</f>
        <v>0.32625482637004605</v>
      </c>
      <c r="AL110" s="3">
        <f>AK110*$B$162+$B$161</f>
        <v>12.800000003179653</v>
      </c>
      <c r="AM110" s="1">
        <v>3</v>
      </c>
      <c r="AN110" s="3">
        <v>0.270513385</v>
      </c>
      <c r="AO110" s="3">
        <v>0.44600872000000003</v>
      </c>
      <c r="AP110" s="3">
        <v>1.890151015</v>
      </c>
      <c r="AQ110" s="3">
        <v>-2.2684729340000001</v>
      </c>
    </row>
    <row r="111" spans="1:43" x14ac:dyDescent="0.3">
      <c r="A111" s="1">
        <v>13223</v>
      </c>
      <c r="B111" s="3">
        <v>7.6</v>
      </c>
      <c r="C111" s="3">
        <v>93.7</v>
      </c>
      <c r="D111" s="3">
        <v>0.66</v>
      </c>
      <c r="E111" s="3">
        <v>3.94</v>
      </c>
      <c r="F111" s="3">
        <f>(B111-B$161)/B$162</f>
        <v>-0.58938499082200768</v>
      </c>
      <c r="G111" s="3">
        <f>(C111-C$161)/C$162</f>
        <v>0.87066363732838747</v>
      </c>
      <c r="H111" s="3">
        <f>(D111-D$161)/D$162</f>
        <v>-0.38228808591465385</v>
      </c>
      <c r="I111" s="3">
        <f>(E111-E$161)/E$162</f>
        <v>-1.3535146447427191</v>
      </c>
      <c r="J111" s="2">
        <v>695329.19999999902</v>
      </c>
      <c r="K111" s="1">
        <v>3758093</v>
      </c>
      <c r="L111" s="3">
        <f>O111+P111*$G111+Q111*$H111+R111*$I111</f>
        <v>-0.75205749151920931</v>
      </c>
      <c r="M111" s="3">
        <f>L111*$B$162+$B$161</f>
        <v>6.6761683925708253</v>
      </c>
      <c r="N111" s="1">
        <v>0</v>
      </c>
      <c r="O111" s="3">
        <v>-0.29754170299999999</v>
      </c>
      <c r="P111" s="3">
        <v>-0.36655891800000001</v>
      </c>
      <c r="Q111" s="3">
        <v>0.15384221300000001</v>
      </c>
      <c r="R111" s="3">
        <v>5.6559581999999997E-2</v>
      </c>
      <c r="S111" s="3">
        <f>V111+W111*$G111+X111*$H111+Y111*$I111</f>
        <v>-0.46639081032334528</v>
      </c>
      <c r="T111" s="3">
        <f>S111*$B$162+$B$161</f>
        <v>8.2984948961104159</v>
      </c>
      <c r="U111" s="1">
        <v>1</v>
      </c>
      <c r="V111" s="3">
        <v>-0.18342203200000001</v>
      </c>
      <c r="W111" s="3">
        <v>-0.17380490200000001</v>
      </c>
      <c r="X111" s="3">
        <v>0.64175570999999998</v>
      </c>
      <c r="Y111" s="3">
        <v>-8.3997902999999999E-2</v>
      </c>
      <c r="Z111" s="3">
        <f>AC111+AD111*$G111+AE111*$H111+AF111*$I111</f>
        <v>-0.52912750863398639</v>
      </c>
      <c r="AA111" s="3">
        <f>Z111*$B$162+$B$161</f>
        <v>7.9422076035642579</v>
      </c>
      <c r="AB111" s="1">
        <v>1</v>
      </c>
      <c r="AC111" s="3">
        <v>-0.27574183299999999</v>
      </c>
      <c r="AD111" s="3">
        <v>-0.23985341199999999</v>
      </c>
      <c r="AE111" s="3">
        <v>0.21363271</v>
      </c>
      <c r="AF111" s="3">
        <v>-2.7421357E-2</v>
      </c>
      <c r="AG111" s="3">
        <v>0.12159739</v>
      </c>
      <c r="AH111" s="3">
        <v>-0.26444675699999998</v>
      </c>
      <c r="AI111" s="3">
        <v>0.70749795000000004</v>
      </c>
      <c r="AJ111" s="3">
        <v>-5.3335240999999999E-2</v>
      </c>
      <c r="AK111" s="3">
        <f>AN111+AO111*$G111+AP111*$H111+AQ111*$I111</f>
        <v>-0.45684414288220454</v>
      </c>
      <c r="AL111" s="3">
        <f>AK111*$B$162+$B$161</f>
        <v>8.3527112700515609</v>
      </c>
      <c r="AM111" s="1">
        <v>2</v>
      </c>
      <c r="AN111" s="3">
        <v>7.5780177000000004E-2</v>
      </c>
      <c r="AO111" s="3">
        <v>-0.16857382100000001</v>
      </c>
      <c r="AP111" s="3">
        <v>0.83152748499999996</v>
      </c>
      <c r="AQ111" s="3">
        <v>5.0217537999999999E-2</v>
      </c>
    </row>
    <row r="112" spans="1:43" x14ac:dyDescent="0.3">
      <c r="A112" s="1">
        <v>13225</v>
      </c>
      <c r="B112" s="3">
        <v>15.1999999999999</v>
      </c>
      <c r="C112" s="3">
        <v>61.299999999999898</v>
      </c>
      <c r="D112" s="3">
        <v>1.62</v>
      </c>
      <c r="E112" s="3">
        <v>47.53</v>
      </c>
      <c r="F112" s="3">
        <f>(B112-B$161)/B$162</f>
        <v>0.74885781810190954</v>
      </c>
      <c r="G112" s="3">
        <f>(C112-C$161)/C$162</f>
        <v>-0.32871353037515166</v>
      </c>
      <c r="H112" s="3">
        <f>(D112-D$161)/D$162</f>
        <v>0.39667938750695619</v>
      </c>
      <c r="I112" s="3">
        <f>(E112-E$161)/E$162</f>
        <v>1.1621335743510126</v>
      </c>
      <c r="J112" s="2">
        <v>798061.4</v>
      </c>
      <c r="K112" s="1">
        <v>3609091</v>
      </c>
      <c r="L112" s="3">
        <f>O112+P112*$G112+Q112*$H112+R112*$I112</f>
        <v>0.31067500046335145</v>
      </c>
      <c r="M112" s="3">
        <f>L112*$B$162+$B$161</f>
        <v>12.711520785431352</v>
      </c>
      <c r="N112" s="1">
        <v>1</v>
      </c>
      <c r="O112" s="3">
        <v>0.152735132</v>
      </c>
      <c r="P112" s="3">
        <v>-0.40878743200000001</v>
      </c>
      <c r="Q112" s="3">
        <v>0.37351620499999999</v>
      </c>
      <c r="R112" s="3">
        <v>-0.107216824</v>
      </c>
      <c r="S112" s="3">
        <f>V112+W112*$G112+X112*$H112+Y112*$I112</f>
        <v>0.76135209543972515</v>
      </c>
      <c r="T112" s="3">
        <f>S112*$B$162+$B$161</f>
        <v>15.270956112847427</v>
      </c>
      <c r="U112" s="1">
        <v>3</v>
      </c>
      <c r="V112" s="3">
        <v>0.57876851500000004</v>
      </c>
      <c r="W112" s="3">
        <v>-0.118666143</v>
      </c>
      <c r="X112" s="3">
        <v>1.1943427209999999</v>
      </c>
      <c r="Y112" s="3">
        <v>-0.28412803199999997</v>
      </c>
      <c r="Z112" s="3">
        <f>AC112+AD112*$G112+AE112*$H112+AF112*$I112</f>
        <v>0.43716155852711436</v>
      </c>
      <c r="AA112" s="3">
        <f>Z112*$B$162+$B$161</f>
        <v>13.429849204515154</v>
      </c>
      <c r="AB112" s="1">
        <v>0</v>
      </c>
      <c r="AC112" s="3">
        <v>0.54283203499999999</v>
      </c>
      <c r="AD112" s="3">
        <v>-0.49819849599999999</v>
      </c>
      <c r="AE112" s="3">
        <v>0.48327922000000001</v>
      </c>
      <c r="AF112" s="3">
        <v>-0.39680633799999998</v>
      </c>
      <c r="AG112" s="3">
        <v>7.1170672000000004E-2</v>
      </c>
      <c r="AH112" s="3">
        <v>-0.29065920899999997</v>
      </c>
      <c r="AI112" s="3">
        <v>0.478563876</v>
      </c>
      <c r="AJ112" s="3">
        <v>-0.11237480499999999</v>
      </c>
      <c r="AK112" s="3">
        <f>AN112+AO112*$G112+AP112*$H112+AQ112*$I112</f>
        <v>1.4569619697596292E-2</v>
      </c>
      <c r="AL112" s="3">
        <f>AK112*$B$162+$B$161</f>
        <v>11.029911978110906</v>
      </c>
      <c r="AM112" s="1">
        <v>0</v>
      </c>
      <c r="AN112" s="3">
        <v>-0.25974846699999998</v>
      </c>
      <c r="AO112" s="3">
        <v>-0.46703683299999998</v>
      </c>
      <c r="AP112" s="3">
        <v>9.7003433E-2</v>
      </c>
      <c r="AQ112" s="3">
        <v>7.0833077999999994E-2</v>
      </c>
    </row>
    <row r="113" spans="1:43" x14ac:dyDescent="0.3">
      <c r="A113" s="1">
        <v>13227</v>
      </c>
      <c r="B113" s="3">
        <v>9</v>
      </c>
      <c r="C113" s="3">
        <v>100</v>
      </c>
      <c r="D113" s="3">
        <v>0.2</v>
      </c>
      <c r="E113" s="3">
        <v>1.48</v>
      </c>
      <c r="F113" s="3">
        <f>(B113-B$161)/B$162</f>
        <v>-0.34286657865180914</v>
      </c>
      <c r="G113" s="3">
        <f>(C113-C$161)/C$162</f>
        <v>1.1038758643818527</v>
      </c>
      <c r="H113" s="3">
        <f>(D113-D$161)/D$162</f>
        <v>-0.75554333359584203</v>
      </c>
      <c r="I113" s="3">
        <f>(E113-E$161)/E$162</f>
        <v>-1.49548515676315</v>
      </c>
      <c r="J113" s="2">
        <v>733846.69999999902</v>
      </c>
      <c r="K113" s="1">
        <v>3812828</v>
      </c>
      <c r="L113" s="3">
        <f>O113+P113*$G113+Q113*$H113+R113*$I113</f>
        <v>-0.42038195767791869</v>
      </c>
      <c r="M113" s="3">
        <f>L113*$B$162+$B$161</f>
        <v>8.5597832645391652</v>
      </c>
      <c r="N113" s="1">
        <v>1</v>
      </c>
      <c r="O113" s="3">
        <v>0.152735132</v>
      </c>
      <c r="P113" s="3">
        <v>-0.40878743200000001</v>
      </c>
      <c r="Q113" s="3">
        <v>0.37351620499999999</v>
      </c>
      <c r="R113" s="3">
        <v>-0.107216824</v>
      </c>
      <c r="S113" s="3">
        <f>V113+W113*$G113+X113*$H113+Y113*$I113</f>
        <v>-2.9692602580928817E-2</v>
      </c>
      <c r="T113" s="3">
        <f>S113*$B$162+$B$161</f>
        <v>10.778542878965677</v>
      </c>
      <c r="U113" s="1">
        <v>3</v>
      </c>
      <c r="V113" s="3">
        <v>0.57876851500000004</v>
      </c>
      <c r="W113" s="3">
        <v>-0.118666143</v>
      </c>
      <c r="X113" s="3">
        <v>1.1943427209999999</v>
      </c>
      <c r="Y113" s="3">
        <v>-0.28412803199999997</v>
      </c>
      <c r="Z113" s="3">
        <f>AC113+AD113*$G113+AE113*$H113+AF113*$I113</f>
        <v>-0.66091076300314722</v>
      </c>
      <c r="AA113" s="3">
        <f>Z113*$B$162+$B$161</f>
        <v>7.1937987748174343</v>
      </c>
      <c r="AB113" s="1">
        <v>1</v>
      </c>
      <c r="AC113" s="3">
        <v>-0.27574183299999999</v>
      </c>
      <c r="AD113" s="3">
        <v>-0.23985341199999999</v>
      </c>
      <c r="AE113" s="3">
        <v>0.21363271</v>
      </c>
      <c r="AF113" s="3">
        <v>-2.7421357E-2</v>
      </c>
      <c r="AG113" s="3">
        <v>0.13438645799999999</v>
      </c>
      <c r="AH113" s="3">
        <v>-0.27513557500000002</v>
      </c>
      <c r="AI113" s="3">
        <v>0.72407911599999997</v>
      </c>
      <c r="AJ113" s="3">
        <v>-5.3286592000000001E-2</v>
      </c>
      <c r="AK113" s="3">
        <f>AN113+AO113*$G113+AP113*$H113+AQ113*$I113</f>
        <v>-0.27546778058352878</v>
      </c>
      <c r="AL113" s="3">
        <f>AK113*$B$162+$B$161</f>
        <v>9.3827637719427095</v>
      </c>
      <c r="AM113" s="1">
        <v>4</v>
      </c>
      <c r="AN113" s="3">
        <v>0.61558443699999998</v>
      </c>
      <c r="AO113" s="3">
        <v>-0.957700683</v>
      </c>
      <c r="AP113" s="3">
        <v>0.17952755200000001</v>
      </c>
      <c r="AQ113" s="3">
        <v>-0.20178822599999999</v>
      </c>
    </row>
    <row r="114" spans="1:43" x14ac:dyDescent="0.3">
      <c r="A114" s="1">
        <v>13229</v>
      </c>
      <c r="B114" s="3">
        <v>6.3</v>
      </c>
      <c r="C114" s="3">
        <v>74.400000000000006</v>
      </c>
      <c r="D114" s="3">
        <v>0.7</v>
      </c>
      <c r="E114" s="3">
        <v>11.69</v>
      </c>
      <c r="F114" s="3">
        <f>(B114-B$161)/B$162</f>
        <v>-0.81829494498004918</v>
      </c>
      <c r="G114" s="3">
        <f>(C114-C$161)/C$162</f>
        <v>0.1562198306407879</v>
      </c>
      <c r="H114" s="3">
        <f>(D114-D$161)/D$162</f>
        <v>-0.34983110785542015</v>
      </c>
      <c r="I114" s="3">
        <f>(E114-E$161)/E$162</f>
        <v>-0.90624982028810985</v>
      </c>
      <c r="J114" s="2">
        <v>953533.8</v>
      </c>
      <c r="K114" s="1">
        <v>3482044</v>
      </c>
      <c r="L114" s="3">
        <f>O114+P114*$G114+Q114*$H114+R114*$I114</f>
        <v>-0.45988137792162059</v>
      </c>
      <c r="M114" s="3">
        <f>L114*$B$162+$B$161</f>
        <v>8.3354625419839525</v>
      </c>
      <c r="N114" s="1">
        <v>0</v>
      </c>
      <c r="O114" s="3">
        <v>-0.29754170299999999</v>
      </c>
      <c r="P114" s="3">
        <v>-0.36655891800000001</v>
      </c>
      <c r="Q114" s="3">
        <v>0.15384221300000001</v>
      </c>
      <c r="R114" s="3">
        <v>5.6559581999999997E-2</v>
      </c>
      <c r="S114" s="3">
        <f>V114+W114*$G114+X114*$H114+Y114*$I114</f>
        <v>-0.79836434334818229</v>
      </c>
      <c r="T114" s="3">
        <f>S114*$B$162+$B$161</f>
        <v>6.4131876602602373</v>
      </c>
      <c r="U114" s="1">
        <v>0</v>
      </c>
      <c r="V114" s="3">
        <v>-0.54906074100000002</v>
      </c>
      <c r="W114" s="3">
        <v>-0.34651111899999998</v>
      </c>
      <c r="X114" s="3">
        <v>0.18161730300000001</v>
      </c>
      <c r="Y114" s="3">
        <v>0.14525389</v>
      </c>
      <c r="Z114" s="3">
        <f>AC114+AD114*$G114+AE114*$H114+AF114*$I114</f>
        <v>-0.36309646016140468</v>
      </c>
      <c r="AA114" s="3">
        <f>Z114*$B$162+$B$161</f>
        <v>8.8851127026816954</v>
      </c>
      <c r="AB114" s="1">
        <v>1</v>
      </c>
      <c r="AC114" s="3">
        <v>-0.27574183299999999</v>
      </c>
      <c r="AD114" s="3">
        <v>-0.23985341199999999</v>
      </c>
      <c r="AE114" s="3">
        <v>0.21363271</v>
      </c>
      <c r="AF114" s="3">
        <v>-2.7421357E-2</v>
      </c>
      <c r="AG114" s="3">
        <v>-0.24754361699999999</v>
      </c>
      <c r="AH114" s="3">
        <v>-0.44001572500000002</v>
      </c>
      <c r="AI114" s="3">
        <v>0.190278276</v>
      </c>
      <c r="AJ114" s="3">
        <v>6.7432246000000001E-2</v>
      </c>
      <c r="AK114" s="3">
        <f>AN114+AO114*$G114+AP114*$H114+AQ114*$I114</f>
        <v>-0.43083616459439261</v>
      </c>
      <c r="AL114" s="3">
        <f>AK114*$B$162+$B$161</f>
        <v>8.5004128931570921</v>
      </c>
      <c r="AM114" s="1">
        <v>0</v>
      </c>
      <c r="AN114" s="3">
        <v>-0.25974846699999998</v>
      </c>
      <c r="AO114" s="3">
        <v>-0.46703683299999998</v>
      </c>
      <c r="AP114" s="3">
        <v>9.7003433E-2</v>
      </c>
      <c r="AQ114" s="3">
        <v>7.0833077999999994E-2</v>
      </c>
    </row>
    <row r="115" spans="1:43" x14ac:dyDescent="0.3">
      <c r="A115" s="1">
        <v>13231</v>
      </c>
      <c r="B115" s="3">
        <v>9.3000000000000007</v>
      </c>
      <c r="C115" s="3">
        <v>100</v>
      </c>
      <c r="D115" s="3">
        <v>0.82</v>
      </c>
      <c r="E115" s="3">
        <v>20.0399999999999</v>
      </c>
      <c r="F115" s="3">
        <f>(B115-B$161)/B$162</f>
        <v>-0.29004120461533789</v>
      </c>
      <c r="G115" s="3">
        <f>(C115-C$161)/C$162</f>
        <v>1.1038758643818527</v>
      </c>
      <c r="H115" s="3">
        <f>(D115-D$161)/D$162</f>
        <v>-0.25246017367771889</v>
      </c>
      <c r="I115" s="3">
        <f>(E115-E$161)/E$162</f>
        <v>-0.42435804168218166</v>
      </c>
      <c r="J115" s="2">
        <v>744180.8</v>
      </c>
      <c r="K115" s="1">
        <v>3665561</v>
      </c>
      <c r="L115" s="3">
        <f>O115+P115*$G115+Q115*$H115+R115*$I115</f>
        <v>-0.76501779072295395</v>
      </c>
      <c r="M115" s="3">
        <f>L115*$B$162+$B$161</f>
        <v>6.6025657000761342</v>
      </c>
      <c r="N115" s="1">
        <v>0</v>
      </c>
      <c r="O115" s="3">
        <v>-0.29754170299999999</v>
      </c>
      <c r="P115" s="3">
        <v>-0.36655891800000001</v>
      </c>
      <c r="Q115" s="3">
        <v>0.15384221300000001</v>
      </c>
      <c r="R115" s="3">
        <v>5.6559581999999997E-2</v>
      </c>
      <c r="S115" s="3">
        <f>V115+W115*$G115+X115*$H115+Y115*$I115</f>
        <v>0.26682386829516735</v>
      </c>
      <c r="T115" s="3">
        <f>S115*$B$162+$B$161</f>
        <v>12.46248630360501</v>
      </c>
      <c r="U115" s="1">
        <v>3</v>
      </c>
      <c r="V115" s="3">
        <v>0.57876851500000004</v>
      </c>
      <c r="W115" s="3">
        <v>-0.118666143</v>
      </c>
      <c r="X115" s="3">
        <v>1.1943427209999999</v>
      </c>
      <c r="Y115" s="3">
        <v>-0.28412803199999997</v>
      </c>
      <c r="Z115" s="3">
        <f>AC115+AD115*$G115+AE115*$H115+AF115*$I115</f>
        <v>-0.58280750320949049</v>
      </c>
      <c r="AA115" s="3">
        <f>Z115*$B$162+$B$161</f>
        <v>7.6373541374717533</v>
      </c>
      <c r="AB115" s="1">
        <v>1</v>
      </c>
      <c r="AC115" s="3">
        <v>-0.27574183299999999</v>
      </c>
      <c r="AD115" s="3">
        <v>-0.23985341199999999</v>
      </c>
      <c r="AE115" s="3">
        <v>0.21363271</v>
      </c>
      <c r="AF115" s="3">
        <v>-2.7421357E-2</v>
      </c>
      <c r="AG115" s="3">
        <v>0.16107555200000001</v>
      </c>
      <c r="AH115" s="3">
        <v>-0.27231155600000001</v>
      </c>
      <c r="AI115" s="3">
        <v>0.62082885200000004</v>
      </c>
      <c r="AJ115" s="3">
        <v>-0.13193559099999999</v>
      </c>
      <c r="AK115" s="3">
        <f>AN115+AO115*$G115+AP115*$H115+AQ115*$I115</f>
        <v>-0.34154218473320402</v>
      </c>
      <c r="AL115" s="3">
        <f>AK115*$B$162+$B$161</f>
        <v>9.0075213509194878</v>
      </c>
      <c r="AM115" s="1">
        <v>2</v>
      </c>
      <c r="AN115" s="3">
        <v>7.5780177000000004E-2</v>
      </c>
      <c r="AO115" s="3">
        <v>-0.16857382100000001</v>
      </c>
      <c r="AP115" s="3">
        <v>0.83152748499999996</v>
      </c>
      <c r="AQ115" s="3">
        <v>5.0217537999999999E-2</v>
      </c>
    </row>
    <row r="116" spans="1:43" x14ac:dyDescent="0.3">
      <c r="A116" s="1">
        <v>13233</v>
      </c>
      <c r="B116" s="3">
        <v>6.8</v>
      </c>
      <c r="C116" s="3">
        <v>66.5</v>
      </c>
      <c r="D116" s="3">
        <v>0.95</v>
      </c>
      <c r="E116" s="3">
        <v>14.3</v>
      </c>
      <c r="F116" s="3">
        <f>(B116-B$161)/B$162</f>
        <v>-0.73025265491926394</v>
      </c>
      <c r="G116" s="3">
        <f>(C116-C$161)/C$162</f>
        <v>-0.13622089852149408</v>
      </c>
      <c r="H116" s="3">
        <f>(D116-D$161)/D$162</f>
        <v>-0.14697499498520922</v>
      </c>
      <c r="I116" s="3">
        <f>(E116-E$161)/E$162</f>
        <v>-0.75562256972984776</v>
      </c>
      <c r="J116" s="2">
        <v>668031.4</v>
      </c>
      <c r="K116" s="1">
        <v>3764766</v>
      </c>
      <c r="L116" s="3">
        <f>O116+P116*$G116+Q116*$H116+R116*$I116</f>
        <v>-0.31295737300684784</v>
      </c>
      <c r="M116" s="3">
        <f>L116*$B$162+$B$161</f>
        <v>9.1698570404308644</v>
      </c>
      <c r="N116" s="1">
        <v>0</v>
      </c>
      <c r="O116" s="3">
        <v>-0.29754170299999999</v>
      </c>
      <c r="P116" s="3">
        <v>-0.36655891800000001</v>
      </c>
      <c r="Q116" s="3">
        <v>0.15384221300000001</v>
      </c>
      <c r="R116" s="3">
        <v>5.6559581999999997E-2</v>
      </c>
      <c r="S116" s="3">
        <f>V116+W116*$G116+X116*$H116+Y116*$I116</f>
        <v>-0.19059750302432066</v>
      </c>
      <c r="T116" s="3">
        <f>S116*$B$162+$B$161</f>
        <v>9.8647496306738525</v>
      </c>
      <c r="U116" s="1">
        <v>1</v>
      </c>
      <c r="V116" s="3">
        <v>-0.18342203200000001</v>
      </c>
      <c r="W116" s="3">
        <v>-0.17380490200000001</v>
      </c>
      <c r="X116" s="3">
        <v>0.64175570999999998</v>
      </c>
      <c r="Y116" s="3">
        <v>-8.3997902999999999E-2</v>
      </c>
      <c r="Z116" s="3">
        <f>AC116+AD116*$G116+AE116*$H116+AF116*$I116</f>
        <v>-0.253747255943021</v>
      </c>
      <c r="AA116" s="3">
        <f>Z116*$B$162+$B$161</f>
        <v>9.5061165642514496</v>
      </c>
      <c r="AB116" s="1">
        <v>1</v>
      </c>
      <c r="AC116" s="3">
        <v>-0.27574183299999999</v>
      </c>
      <c r="AD116" s="3">
        <v>-0.23985341199999999</v>
      </c>
      <c r="AE116" s="3">
        <v>0.21363271</v>
      </c>
      <c r="AF116" s="3">
        <v>-2.7421357E-2</v>
      </c>
      <c r="AG116" s="3">
        <v>0.113429349</v>
      </c>
      <c r="AH116" s="3">
        <v>-0.26044225900000001</v>
      </c>
      <c r="AI116" s="3">
        <v>0.70253779699999996</v>
      </c>
      <c r="AJ116" s="3">
        <v>-4.5681758000000003E-2</v>
      </c>
      <c r="AK116" s="3">
        <f>AN116+AO116*$G116+AP116*$H116+AQ116*$I116</f>
        <v>-6.1415798683183399E-2</v>
      </c>
      <c r="AL116" s="3">
        <f>AK116*$B$162+$B$161</f>
        <v>10.598384025303689</v>
      </c>
      <c r="AM116" s="1">
        <v>2</v>
      </c>
      <c r="AN116" s="3">
        <v>7.5780177000000004E-2</v>
      </c>
      <c r="AO116" s="3">
        <v>-0.16857382100000001</v>
      </c>
      <c r="AP116" s="3">
        <v>0.83152748499999996</v>
      </c>
      <c r="AQ116" s="3">
        <v>5.0217537999999999E-2</v>
      </c>
    </row>
    <row r="117" spans="1:43" x14ac:dyDescent="0.3">
      <c r="A117" s="1">
        <v>13235</v>
      </c>
      <c r="B117" s="3">
        <v>10.6999999999999</v>
      </c>
      <c r="C117" s="3">
        <v>56.5</v>
      </c>
      <c r="D117" s="3">
        <v>1.76</v>
      </c>
      <c r="E117" s="3">
        <v>32.46</v>
      </c>
      <c r="F117" s="3">
        <f>(B117-B$161)/B$162</f>
        <v>-4.3522792445157145E-2</v>
      </c>
      <c r="G117" s="3">
        <f>(C117-C$161)/C$162</f>
        <v>-0.50639903670159758</v>
      </c>
      <c r="H117" s="3">
        <f>(D117-D$161)/D$162</f>
        <v>0.51027881071427428</v>
      </c>
      <c r="I117" s="3">
        <f>(E117-E$161)/E$162</f>
        <v>0.29241990925024325</v>
      </c>
      <c r="J117" s="2">
        <v>833819.59999999905</v>
      </c>
      <c r="K117" s="1">
        <v>3567447</v>
      </c>
      <c r="L117" s="3">
        <f>O117+P117*$G117+Q117*$H117+R117*$I117</f>
        <v>-1.6875050707456315E-2</v>
      </c>
      <c r="M117" s="3">
        <f>L117*$B$162+$B$161</f>
        <v>10.851334896668893</v>
      </c>
      <c r="N117" s="1">
        <v>0</v>
      </c>
      <c r="O117" s="3">
        <v>-0.29754170299999999</v>
      </c>
      <c r="P117" s="3">
        <v>-0.36655891800000001</v>
      </c>
      <c r="Q117" s="3">
        <v>0.15384221300000001</v>
      </c>
      <c r="R117" s="3">
        <v>5.6559581999999997E-2</v>
      </c>
      <c r="S117" s="3">
        <f>V117+W117*$G117+X117*$H117+Y117*$I117</f>
        <v>-0.23843725341998859</v>
      </c>
      <c r="T117" s="3">
        <f>S117*$B$162+$B$161</f>
        <v>9.5930634309927747</v>
      </c>
      <c r="U117" s="1">
        <v>0</v>
      </c>
      <c r="V117" s="3">
        <v>-0.54906074100000002</v>
      </c>
      <c r="W117" s="3">
        <v>-0.34651111899999998</v>
      </c>
      <c r="X117" s="3">
        <v>0.18161730300000001</v>
      </c>
      <c r="Y117" s="3">
        <v>0.14525389</v>
      </c>
      <c r="Z117" s="3">
        <f>AC117+AD117*$G117+AE117*$H117+AF117*$I117</f>
        <v>-5.3286601750599655E-2</v>
      </c>
      <c r="AA117" s="3">
        <f>Z117*$B$162+$B$161</f>
        <v>10.644550458088272</v>
      </c>
      <c r="AB117" s="1">
        <v>1</v>
      </c>
      <c r="AC117" s="3">
        <v>-0.27574183299999999</v>
      </c>
      <c r="AD117" s="3">
        <v>-0.23985341199999999</v>
      </c>
      <c r="AE117" s="3">
        <v>0.21363271</v>
      </c>
      <c r="AF117" s="3">
        <v>-2.7421357E-2</v>
      </c>
      <c r="AG117" s="3">
        <v>-0.17263831499999999</v>
      </c>
      <c r="AH117" s="3">
        <v>-0.33079796500000003</v>
      </c>
      <c r="AI117" s="3">
        <v>0.30453835800000001</v>
      </c>
      <c r="AJ117" s="3">
        <v>3.8750951999999998E-2</v>
      </c>
      <c r="AK117" s="3">
        <f>AN117+AO117*$G117+AP117*$H117+AQ117*$I117</f>
        <v>4.69703340024821E-2</v>
      </c>
      <c r="AL117" s="3">
        <f>AK117*$B$162+$B$161</f>
        <v>11.213918517936916</v>
      </c>
      <c r="AM117" s="1">
        <v>0</v>
      </c>
      <c r="AN117" s="3">
        <v>-0.25974846699999998</v>
      </c>
      <c r="AO117" s="3">
        <v>-0.46703683299999998</v>
      </c>
      <c r="AP117" s="3">
        <v>9.7003433E-2</v>
      </c>
      <c r="AQ117" s="3">
        <v>7.0833077999999994E-2</v>
      </c>
    </row>
    <row r="118" spans="1:43" x14ac:dyDescent="0.3">
      <c r="A118" s="1">
        <v>13237</v>
      </c>
      <c r="B118" s="3">
        <v>11.6999999999999</v>
      </c>
      <c r="C118" s="3">
        <v>66.5</v>
      </c>
      <c r="D118" s="3">
        <v>1.85</v>
      </c>
      <c r="E118" s="3">
        <v>32.7899999999999</v>
      </c>
      <c r="F118" s="3">
        <f>(B118-B$161)/B$162</f>
        <v>0.13256178767641322</v>
      </c>
      <c r="G118" s="3">
        <f>(C118-C$161)/C$162</f>
        <v>-0.13622089852149408</v>
      </c>
      <c r="H118" s="3">
        <f>(D118-D$161)/D$162</f>
        <v>0.58330701134755025</v>
      </c>
      <c r="I118" s="3">
        <f>(E118-E$161)/E$162</f>
        <v>0.31146473403346597</v>
      </c>
      <c r="J118" s="2">
        <v>840169.09999999905</v>
      </c>
      <c r="K118" s="1">
        <v>3695254</v>
      </c>
      <c r="L118" s="3">
        <f>O118+P118*$G118+Q118*$H118+R118*$I118</f>
        <v>0.39290088494869008</v>
      </c>
      <c r="M118" s="3">
        <f>L118*$B$162+$B$161</f>
        <v>13.178488900575614</v>
      </c>
      <c r="N118" s="1">
        <v>1</v>
      </c>
      <c r="O118" s="3">
        <v>0.152735132</v>
      </c>
      <c r="P118" s="3">
        <v>-0.40878743200000001</v>
      </c>
      <c r="Q118" s="3">
        <v>0.37351620499999999</v>
      </c>
      <c r="R118" s="3">
        <v>-0.107216824</v>
      </c>
      <c r="S118" s="3">
        <f>V118+W118*$G118+X118*$H118+Y118*$I118</f>
        <v>-3.8394007785586118E-2</v>
      </c>
      <c r="T118" s="3">
        <f>S118*$B$162+$B$161</f>
        <v>10.729126824484077</v>
      </c>
      <c r="U118" s="1">
        <v>2</v>
      </c>
      <c r="V118" s="3">
        <v>-0.13655372900000001</v>
      </c>
      <c r="W118" s="3">
        <v>-0.53975352499999996</v>
      </c>
      <c r="X118" s="3">
        <v>6.0196410000000001E-3</v>
      </c>
      <c r="Y118" s="3">
        <v>6.7817348E-2</v>
      </c>
      <c r="Z118" s="3">
        <f>AC118+AD118*$G118+AE118*$H118+AF118*$I118</f>
        <v>-0.12699611377257769</v>
      </c>
      <c r="AA118" s="3">
        <f>Z118*$B$162+$B$161</f>
        <v>10.225947580022012</v>
      </c>
      <c r="AB118" s="1">
        <v>1</v>
      </c>
      <c r="AC118" s="3">
        <v>-0.27574183299999999</v>
      </c>
      <c r="AD118" s="3">
        <v>-0.23985341199999999</v>
      </c>
      <c r="AE118" s="3">
        <v>0.21363271</v>
      </c>
      <c r="AF118" s="3">
        <v>-2.7421357E-2</v>
      </c>
      <c r="AG118" s="3">
        <v>0.20834846700000001</v>
      </c>
      <c r="AH118" s="3">
        <v>-0.26382393500000001</v>
      </c>
      <c r="AI118" s="3">
        <v>0.72291477400000004</v>
      </c>
      <c r="AJ118" s="3">
        <v>-0.16344948200000001</v>
      </c>
      <c r="AK118" s="3">
        <f>AN118+AO118*$G118+AP118*$H118+AQ118*$I118</f>
        <v>-0.11748350157238294</v>
      </c>
      <c r="AL118" s="3">
        <f>AK118*$B$162+$B$161</f>
        <v>10.279970551219304</v>
      </c>
      <c r="AM118" s="1">
        <v>0</v>
      </c>
      <c r="AN118" s="3">
        <v>-0.25974846699999998</v>
      </c>
      <c r="AO118" s="3">
        <v>-0.46703683299999998</v>
      </c>
      <c r="AP118" s="3">
        <v>9.7003433E-2</v>
      </c>
      <c r="AQ118" s="3">
        <v>7.0833077999999994E-2</v>
      </c>
    </row>
    <row r="119" spans="1:43" x14ac:dyDescent="0.3">
      <c r="A119" s="1">
        <v>13239</v>
      </c>
      <c r="B119" s="3">
        <v>7.3</v>
      </c>
      <c r="C119" s="3">
        <v>100</v>
      </c>
      <c r="D119" s="3">
        <v>0.95</v>
      </c>
      <c r="E119" s="3">
        <v>49.93</v>
      </c>
      <c r="F119" s="3">
        <f>(B119-B$161)/B$162</f>
        <v>-0.64221036485847882</v>
      </c>
      <c r="G119" s="3">
        <f>(C119-C$161)/C$162</f>
        <v>1.1038758643818527</v>
      </c>
      <c r="H119" s="3">
        <f>(D119-D$161)/D$162</f>
        <v>-0.14697499498520922</v>
      </c>
      <c r="I119" s="3">
        <f>(E119-E$161)/E$162</f>
        <v>1.300641390956311</v>
      </c>
      <c r="J119" s="2">
        <v>686875.4</v>
      </c>
      <c r="K119" s="1">
        <v>3524124</v>
      </c>
      <c r="L119" s="3">
        <f>O119+P119*$G119+Q119*$H119+R119*$I119</f>
        <v>-0.65122447053392762</v>
      </c>
      <c r="M119" s="3">
        <f>L119*$B$162+$B$161</f>
        <v>7.2488080917180513</v>
      </c>
      <c r="N119" s="1">
        <v>0</v>
      </c>
      <c r="O119" s="3">
        <v>-0.29754170299999999</v>
      </c>
      <c r="P119" s="3">
        <v>-0.36655891800000001</v>
      </c>
      <c r="Q119" s="3">
        <v>0.15384221300000001</v>
      </c>
      <c r="R119" s="3">
        <v>5.6559581999999997E-2</v>
      </c>
      <c r="S119" s="3">
        <f>V119+W119*$G119+X119*$H119+Y119*$I119</f>
        <v>-0.76933598267028525</v>
      </c>
      <c r="T119" s="3">
        <f>S119*$B$162+$B$161</f>
        <v>6.5780423037381359</v>
      </c>
      <c r="U119" s="1">
        <v>0</v>
      </c>
      <c r="V119" s="3">
        <v>-0.54906074100000002</v>
      </c>
      <c r="W119" s="3">
        <v>-0.34651111899999998</v>
      </c>
      <c r="X119" s="3">
        <v>0.18161730300000001</v>
      </c>
      <c r="Y119" s="3">
        <v>0.14525389</v>
      </c>
      <c r="Z119" s="3">
        <f>AC119+AD119*$G119+AE119*$H119+AF119*$I119</f>
        <v>-0.60757424388775294</v>
      </c>
      <c r="AA119" s="3">
        <f>Z119*$B$162+$B$161</f>
        <v>7.4967016132066346</v>
      </c>
      <c r="AB119" s="1">
        <v>1</v>
      </c>
      <c r="AC119" s="3">
        <v>-0.27574183299999999</v>
      </c>
      <c r="AD119" s="3">
        <v>-0.23985341199999999</v>
      </c>
      <c r="AE119" s="3">
        <v>0.21363271</v>
      </c>
      <c r="AF119" s="3">
        <v>-2.7421357E-2</v>
      </c>
      <c r="AG119" s="3">
        <v>-7.5916651000000002E-2</v>
      </c>
      <c r="AH119" s="3">
        <v>-0.36782771600000003</v>
      </c>
      <c r="AI119" s="3">
        <v>0.222803745</v>
      </c>
      <c r="AJ119" s="3">
        <v>-4.6155582000000001E-2</v>
      </c>
      <c r="AK119" s="3">
        <f>AN119+AO119*$G119+AP119*$H119+AQ119*$I119</f>
        <v>-0.69742780070912413</v>
      </c>
      <c r="AL119" s="3">
        <f>AK119*$B$162+$B$161</f>
        <v>6.9864152680914895</v>
      </c>
      <c r="AM119" s="1">
        <v>0</v>
      </c>
      <c r="AN119" s="3">
        <v>-0.25974846699999998</v>
      </c>
      <c r="AO119" s="3">
        <v>-0.46703683299999998</v>
      </c>
      <c r="AP119" s="3">
        <v>9.7003433E-2</v>
      </c>
      <c r="AQ119" s="3">
        <v>7.0833077999999994E-2</v>
      </c>
    </row>
    <row r="120" spans="1:43" x14ac:dyDescent="0.3">
      <c r="A120" s="1">
        <v>13241</v>
      </c>
      <c r="B120" s="3">
        <v>11.6</v>
      </c>
      <c r="C120" s="3">
        <v>100</v>
      </c>
      <c r="D120" s="3">
        <v>1.1299999999999999</v>
      </c>
      <c r="E120" s="3">
        <v>0.35</v>
      </c>
      <c r="F120" s="3">
        <f>(B120-B$161)/B$162</f>
        <v>0.11495332966427377</v>
      </c>
      <c r="G120" s="3">
        <f>(C120-C$161)/C$162</f>
        <v>1.1038758643818527</v>
      </c>
      <c r="H120" s="3">
        <f>(D120-D$161)/D$162</f>
        <v>-9.1859371865739661E-4</v>
      </c>
      <c r="I120" s="3">
        <f>(E120-E$161)/E$162</f>
        <v>-1.5606992537481446</v>
      </c>
      <c r="J120" s="2">
        <v>824645.5</v>
      </c>
      <c r="K120" s="1">
        <v>3864805</v>
      </c>
      <c r="L120" s="3">
        <f>O120+P120*$G120+Q120*$H120+R120*$I120</f>
        <v>-0.13152534028112139</v>
      </c>
      <c r="M120" s="3">
        <f>L120*$B$162+$B$161</f>
        <v>10.200225699631256</v>
      </c>
      <c r="N120" s="1">
        <v>1</v>
      </c>
      <c r="O120" s="3">
        <v>0.152735132</v>
      </c>
      <c r="P120" s="3">
        <v>-0.40878743200000001</v>
      </c>
      <c r="Q120" s="3">
        <v>0.37351620499999999</v>
      </c>
      <c r="R120" s="3">
        <v>-0.107216824</v>
      </c>
      <c r="S120" s="3">
        <f>V120+W120*$G120+X120*$H120+Y120*$I120</f>
        <v>-0.2447751166646627</v>
      </c>
      <c r="T120" s="3">
        <f>S120*$B$162+$B$161</f>
        <v>9.5570701416297972</v>
      </c>
      <c r="U120" s="1">
        <v>1</v>
      </c>
      <c r="V120" s="3">
        <v>-0.18342203200000001</v>
      </c>
      <c r="W120" s="3">
        <v>-0.17380490200000001</v>
      </c>
      <c r="X120" s="3">
        <v>0.64175570999999998</v>
      </c>
      <c r="Y120" s="3">
        <v>-8.3997902999999999E-2</v>
      </c>
      <c r="Z120" s="3">
        <f>AC120+AD120*$G120+AE120*$H120+AF120*$I120</f>
        <v>-0.49790997575528101</v>
      </c>
      <c r="AA120" s="3">
        <f>Z120*$B$162+$B$161</f>
        <v>8.119494750781536</v>
      </c>
      <c r="AB120" s="1">
        <v>1</v>
      </c>
      <c r="AC120" s="3">
        <v>-0.27574183299999999</v>
      </c>
      <c r="AD120" s="3">
        <v>-0.23985341199999999</v>
      </c>
      <c r="AE120" s="3">
        <v>0.21363271</v>
      </c>
      <c r="AF120" s="3">
        <v>-2.7421357E-2</v>
      </c>
      <c r="AG120" s="3">
        <v>0.15313888</v>
      </c>
      <c r="AH120" s="3">
        <v>-0.29641182500000002</v>
      </c>
      <c r="AI120" s="3">
        <v>0.72596770200000005</v>
      </c>
      <c r="AJ120" s="3">
        <v>-7.0606427999999999E-2</v>
      </c>
      <c r="AK120" s="3">
        <f>AN120+AO120*$G120+AP120*$H120+AQ120*$I120</f>
        <v>-0.12683241141394702</v>
      </c>
      <c r="AL120" s="3">
        <f>AK120*$B$162+$B$161</f>
        <v>10.226877260284292</v>
      </c>
      <c r="AM120" s="1">
        <v>4</v>
      </c>
      <c r="AN120" s="3">
        <v>0.61558443699999998</v>
      </c>
      <c r="AO120" s="3">
        <v>-0.957700683</v>
      </c>
      <c r="AP120" s="3">
        <v>0.17952755200000001</v>
      </c>
      <c r="AQ120" s="3">
        <v>-0.20178822599999999</v>
      </c>
    </row>
    <row r="121" spans="1:43" x14ac:dyDescent="0.3">
      <c r="A121" s="1">
        <v>13243</v>
      </c>
      <c r="B121" s="3">
        <v>6</v>
      </c>
      <c r="C121" s="3">
        <v>53.5</v>
      </c>
      <c r="D121" s="3">
        <v>0.86</v>
      </c>
      <c r="E121" s="3">
        <v>58.17</v>
      </c>
      <c r="F121" s="3">
        <f>(B121-B$161)/B$162</f>
        <v>-0.87112031901652021</v>
      </c>
      <c r="G121" s="3">
        <f>(C121-C$161)/C$162</f>
        <v>-0.61745247815562865</v>
      </c>
      <c r="H121" s="3">
        <f>(D121-D$161)/D$162</f>
        <v>-0.22000319561848514</v>
      </c>
      <c r="I121" s="3">
        <f>(E121-E$161)/E$162</f>
        <v>1.7761848946345022</v>
      </c>
      <c r="J121" s="2">
        <v>712437.09999999905</v>
      </c>
      <c r="K121" s="1">
        <v>3519627</v>
      </c>
      <c r="L121" s="3">
        <f>O121+P121*$G121+Q121*$H121+R121*$I121</f>
        <v>-4.594493976632294E-3</v>
      </c>
      <c r="M121" s="3">
        <f>L121*$B$162+$B$161</f>
        <v>10.921077271170654</v>
      </c>
      <c r="N121" s="1">
        <v>0</v>
      </c>
      <c r="O121" s="3">
        <v>-0.29754170299999999</v>
      </c>
      <c r="P121" s="3">
        <v>-0.36655891800000001</v>
      </c>
      <c r="Q121" s="3">
        <v>0.15384221300000001</v>
      </c>
      <c r="R121" s="3">
        <v>5.6559581999999997E-2</v>
      </c>
      <c r="S121" s="3">
        <f>V121+W121*$G121+X121*$H121+Y121*$I121</f>
        <v>-0.1170652135996792</v>
      </c>
      <c r="T121" s="3">
        <f>S121*$B$162+$B$161</f>
        <v>10.282346045839077</v>
      </c>
      <c r="U121" s="1">
        <v>0</v>
      </c>
      <c r="V121" s="3">
        <v>-0.54906074100000002</v>
      </c>
      <c r="W121" s="3">
        <v>-0.34651111899999998</v>
      </c>
      <c r="X121" s="3">
        <v>0.18161730300000001</v>
      </c>
      <c r="Y121" s="3">
        <v>0.14525389</v>
      </c>
      <c r="Z121" s="3">
        <f>AC121+AD121*$G121+AE121*$H121+AF121*$I121</f>
        <v>-0.22334902834893419</v>
      </c>
      <c r="AA121" s="3">
        <f>Z121*$B$162+$B$161</f>
        <v>9.6787508038486898</v>
      </c>
      <c r="AB121" s="1">
        <v>1</v>
      </c>
      <c r="AC121" s="3">
        <v>-0.27574183299999999</v>
      </c>
      <c r="AD121" s="3">
        <v>-0.23985341199999999</v>
      </c>
      <c r="AE121" s="3">
        <v>0.21363271</v>
      </c>
      <c r="AF121" s="3">
        <v>-2.7421357E-2</v>
      </c>
      <c r="AG121" s="3">
        <v>-0.110303601</v>
      </c>
      <c r="AH121" s="3">
        <v>-0.36279136200000001</v>
      </c>
      <c r="AI121" s="3">
        <v>0.21239353599999999</v>
      </c>
      <c r="AJ121" s="3">
        <v>-2.5190013000000001E-2</v>
      </c>
      <c r="AK121" s="3">
        <f>AN121+AO121*$G121+AP121*$H121+AQ121*$I121</f>
        <v>0.13309616086391035</v>
      </c>
      <c r="AL121" s="3">
        <f>AK121*$B$162+$B$161</f>
        <v>11.703034752884724</v>
      </c>
      <c r="AM121" s="1">
        <v>0</v>
      </c>
      <c r="AN121" s="3">
        <v>-0.25974846699999998</v>
      </c>
      <c r="AO121" s="3">
        <v>-0.46703683299999998</v>
      </c>
      <c r="AP121" s="3">
        <v>9.7003433E-2</v>
      </c>
      <c r="AQ121" s="3">
        <v>7.0833077999999994E-2</v>
      </c>
    </row>
    <row r="122" spans="1:43" x14ac:dyDescent="0.3">
      <c r="A122" s="1">
        <v>13245</v>
      </c>
      <c r="B122" s="3">
        <v>17.3</v>
      </c>
      <c r="C122" s="3">
        <v>9.9</v>
      </c>
      <c r="D122" s="3">
        <v>3.01</v>
      </c>
      <c r="E122" s="3">
        <v>41.96</v>
      </c>
      <c r="F122" s="3">
        <f>(B122-B$161)/B$162</f>
        <v>1.1186354363572251</v>
      </c>
      <c r="G122" s="3">
        <f>(C122-C$161)/C$162</f>
        <v>-2.23142916062088</v>
      </c>
      <c r="H122" s="3">
        <f>(D122-D$161)/D$162</f>
        <v>1.5245593750653288</v>
      </c>
      <c r="I122" s="3">
        <f>(E122-E$161)/E$162</f>
        <v>0.84068001664621594</v>
      </c>
      <c r="J122" s="2">
        <v>954272.3</v>
      </c>
      <c r="K122" s="1">
        <v>3697862</v>
      </c>
      <c r="L122" s="3">
        <f>O122+P122*$G122+Q122*$H122+R122*$I122</f>
        <v>1.5442279189466241</v>
      </c>
      <c r="M122" s="3">
        <f>L122*$B$162+$B$161</f>
        <v>19.716977581430278</v>
      </c>
      <c r="N122" s="1">
        <v>1</v>
      </c>
      <c r="O122" s="3">
        <v>0.152735132</v>
      </c>
      <c r="P122" s="3">
        <v>-0.40878743200000001</v>
      </c>
      <c r="Q122" s="3">
        <v>0.37351620499999999</v>
      </c>
      <c r="R122" s="3">
        <v>-0.107216824</v>
      </c>
      <c r="S122" s="3">
        <f>V122+W122*$G122+X122*$H122+Y122*$I122</f>
        <v>1.1340580155995308</v>
      </c>
      <c r="T122" s="3">
        <f>S122*$B$162+$B$161</f>
        <v>17.387586199948103</v>
      </c>
      <c r="U122" s="1">
        <v>2</v>
      </c>
      <c r="V122" s="3">
        <v>-0.13655372900000001</v>
      </c>
      <c r="W122" s="3">
        <v>-0.53975352499999996</v>
      </c>
      <c r="X122" s="3">
        <v>6.0196410000000001E-3</v>
      </c>
      <c r="Y122" s="3">
        <v>6.7817348E-2</v>
      </c>
      <c r="Z122" s="3">
        <f>AC122+AD122*$G122+AE122*$H122+AF122*$I122</f>
        <v>2.0577273935419607</v>
      </c>
      <c r="AA122" s="3">
        <f>Z122*$B$162+$B$161</f>
        <v>22.633186793167113</v>
      </c>
      <c r="AB122" s="1">
        <v>0</v>
      </c>
      <c r="AC122" s="3">
        <v>0.54283203499999999</v>
      </c>
      <c r="AD122" s="3">
        <v>-0.49819849599999999</v>
      </c>
      <c r="AE122" s="3">
        <v>0.48327922000000001</v>
      </c>
      <c r="AF122" s="3">
        <v>-0.39680633799999998</v>
      </c>
      <c r="AG122" s="3">
        <v>0.139740682</v>
      </c>
      <c r="AH122" s="3">
        <v>-0.28318339599999998</v>
      </c>
      <c r="AI122" s="3">
        <v>0.66130105900000002</v>
      </c>
      <c r="AJ122" s="3">
        <v>-0.165023538</v>
      </c>
      <c r="AK122" s="3">
        <f>AN122+AO122*$G122+AP122*$H122+AQ122*$I122</f>
        <v>1.761870620459701</v>
      </c>
      <c r="AL122" s="3">
        <f>AK122*$B$162+$B$161</f>
        <v>20.952989851004446</v>
      </c>
      <c r="AM122" s="1">
        <v>2</v>
      </c>
      <c r="AN122" s="3">
        <v>7.5780177000000004E-2</v>
      </c>
      <c r="AO122" s="3">
        <v>-0.16857382100000001</v>
      </c>
      <c r="AP122" s="3">
        <v>0.83152748499999996</v>
      </c>
      <c r="AQ122" s="3">
        <v>5.0217537999999999E-2</v>
      </c>
    </row>
    <row r="123" spans="1:43" x14ac:dyDescent="0.3">
      <c r="A123" s="1">
        <v>13247</v>
      </c>
      <c r="B123" s="3">
        <v>18.100000000000001</v>
      </c>
      <c r="C123" s="3">
        <v>59.2</v>
      </c>
      <c r="D123" s="3">
        <v>2.0099999999999998</v>
      </c>
      <c r="E123" s="3">
        <v>8.0299999999999905</v>
      </c>
      <c r="F123" s="3">
        <f>(B123-B$161)/B$162</f>
        <v>1.2595031004544814</v>
      </c>
      <c r="G123" s="3">
        <f>(C123-C$161)/C$162</f>
        <v>-0.4064509393929695</v>
      </c>
      <c r="H123" s="3">
        <f>(D123-D$161)/D$162</f>
        <v>0.71313492358448505</v>
      </c>
      <c r="I123" s="3">
        <f>(E123-E$161)/E$162</f>
        <v>-1.1174742406111904</v>
      </c>
      <c r="J123" s="2">
        <v>777759</v>
      </c>
      <c r="K123" s="1">
        <v>3729605</v>
      </c>
      <c r="L123" s="3">
        <f>O123+P123*$G123+Q123*$H123+R123*$I123</f>
        <v>1.6157588664592708</v>
      </c>
      <c r="M123" s="3">
        <f>L123*$B$162+$B$161</f>
        <v>20.123208197781018</v>
      </c>
      <c r="N123" s="1">
        <v>2</v>
      </c>
      <c r="O123" s="3">
        <v>0.94371922399999997</v>
      </c>
      <c r="P123" s="3">
        <v>-0.79405312100000003</v>
      </c>
      <c r="Q123" s="3">
        <v>0.26666736400000002</v>
      </c>
      <c r="R123" s="3">
        <v>-0.14239808800000001</v>
      </c>
      <c r="S123" s="3">
        <f>V123+W123*$G123+X123*$H123+Y123*$I123</f>
        <v>1.7962337421660635</v>
      </c>
      <c r="T123" s="3">
        <f>S123*$B$162+$B$161</f>
        <v>21.148141077094991</v>
      </c>
      <c r="U123" s="1">
        <v>3</v>
      </c>
      <c r="V123" s="3">
        <v>0.57876851500000004</v>
      </c>
      <c r="W123" s="3">
        <v>-0.118666143</v>
      </c>
      <c r="X123" s="3">
        <v>1.1943427209999999</v>
      </c>
      <c r="Y123" s="3">
        <v>-0.28412803199999997</v>
      </c>
      <c r="Z123" s="3">
        <f>AC123+AD123*$G123+AE123*$H123+AF123*$I123</f>
        <v>1.5333894325542914</v>
      </c>
      <c r="AA123" s="3">
        <f>Z123*$B$162+$B$161</f>
        <v>19.655424852708379</v>
      </c>
      <c r="AB123" s="1">
        <v>0</v>
      </c>
      <c r="AC123" s="3">
        <v>0.54283203499999999</v>
      </c>
      <c r="AD123" s="3">
        <v>-0.49819849599999999</v>
      </c>
      <c r="AE123" s="3">
        <v>0.48327922000000001</v>
      </c>
      <c r="AF123" s="3">
        <v>-0.39680633799999998</v>
      </c>
      <c r="AG123" s="3">
        <v>0.16608448200000001</v>
      </c>
      <c r="AH123" s="3">
        <v>-0.28586956400000002</v>
      </c>
      <c r="AI123" s="3">
        <v>0.70468321300000003</v>
      </c>
      <c r="AJ123" s="3">
        <v>-0.10143271700000001</v>
      </c>
      <c r="AK123" s="3">
        <f>AN123+AO123*$G123+AP123*$H123+AQ123*$I123</f>
        <v>0.68117164923447271</v>
      </c>
      <c r="AL123" s="3">
        <f>AK123*$B$162+$B$161</f>
        <v>14.815604223716107</v>
      </c>
      <c r="AM123" s="1">
        <v>2</v>
      </c>
      <c r="AN123" s="3">
        <v>7.5780177000000004E-2</v>
      </c>
      <c r="AO123" s="3">
        <v>-0.16857382100000001</v>
      </c>
      <c r="AP123" s="3">
        <v>0.83152748499999996</v>
      </c>
      <c r="AQ123" s="3">
        <v>5.0217537999999999E-2</v>
      </c>
    </row>
    <row r="124" spans="1:43" x14ac:dyDescent="0.3">
      <c r="A124" s="1">
        <v>13249</v>
      </c>
      <c r="B124" s="3">
        <v>8</v>
      </c>
      <c r="C124" s="3">
        <v>100</v>
      </c>
      <c r="D124" s="3">
        <v>0.25</v>
      </c>
      <c r="E124" s="3">
        <v>34.090000000000003</v>
      </c>
      <c r="F124" s="3">
        <f>(B124-B$161)/B$162</f>
        <v>-0.5189511587733795</v>
      </c>
      <c r="G124" s="3">
        <f>(C124-C$161)/C$162</f>
        <v>1.1038758643818527</v>
      </c>
      <c r="H124" s="3">
        <f>(D124-D$161)/D$162</f>
        <v>-0.71497211102179981</v>
      </c>
      <c r="I124" s="3">
        <f>(E124-E$161)/E$162</f>
        <v>0.38648980136134187</v>
      </c>
      <c r="J124" s="2">
        <v>752973.09999999905</v>
      </c>
      <c r="K124" s="1">
        <v>3570222</v>
      </c>
      <c r="L124" s="3">
        <f>O124+P124*$G124+Q124*$H124+R124*$I124</f>
        <v>-0.79031043563474157</v>
      </c>
      <c r="M124" s="3">
        <f>L124*$B$162+$B$161</f>
        <v>6.4589265188694363</v>
      </c>
      <c r="N124" s="1">
        <v>0</v>
      </c>
      <c r="O124" s="3">
        <v>-0.29754170299999999</v>
      </c>
      <c r="P124" s="3">
        <v>-0.36655891800000001</v>
      </c>
      <c r="Q124" s="3">
        <v>0.15384221300000001</v>
      </c>
      <c r="R124" s="3">
        <v>5.6559581999999997E-2</v>
      </c>
      <c r="S124" s="3">
        <f>V124+W124*$G124+X124*$H124+Y124*$I124</f>
        <v>-0.7104677800385174</v>
      </c>
      <c r="T124" s="3">
        <f>S124*$B$162+$B$161</f>
        <v>6.9123600650726305</v>
      </c>
      <c r="U124" s="1">
        <v>2</v>
      </c>
      <c r="V124" s="3">
        <v>-0.13655372900000001</v>
      </c>
      <c r="W124" s="3">
        <v>-0.53975352499999996</v>
      </c>
      <c r="X124" s="3">
        <v>6.0196410000000001E-3</v>
      </c>
      <c r="Y124" s="3">
        <v>6.7817348E-2</v>
      </c>
      <c r="Z124" s="3">
        <f>AC124+AD124*$G124+AE124*$H124+AF124*$I124</f>
        <v>-0.50601002729464928</v>
      </c>
      <c r="AA124" s="3">
        <f>Z124*$B$162+$B$161</f>
        <v>8.0734938372786278</v>
      </c>
      <c r="AB124" s="1">
        <v>0</v>
      </c>
      <c r="AC124" s="3">
        <v>0.54283203499999999</v>
      </c>
      <c r="AD124" s="3">
        <v>-0.49819849599999999</v>
      </c>
      <c r="AE124" s="3">
        <v>0.48327922000000001</v>
      </c>
      <c r="AF124" s="3">
        <v>-0.39680633799999998</v>
      </c>
      <c r="AG124" s="3">
        <v>-2.2414162000000001E-2</v>
      </c>
      <c r="AH124" s="3">
        <v>-0.33131080099999999</v>
      </c>
      <c r="AI124" s="3">
        <v>0.31760266700000001</v>
      </c>
      <c r="AJ124" s="3">
        <v>-6.6964045999999999E-2</v>
      </c>
      <c r="AK124" s="3">
        <f>AN124+AO124*$G124+AP124*$H124+AQ124*$I124</f>
        <v>-0.81727764174837725</v>
      </c>
      <c r="AL124" s="3">
        <f>AK124*$B$162+$B$161</f>
        <v>6.3057773555808776</v>
      </c>
      <c r="AM124" s="1">
        <v>0</v>
      </c>
      <c r="AN124" s="3">
        <v>-0.25974846699999998</v>
      </c>
      <c r="AO124" s="3">
        <v>-0.46703683299999998</v>
      </c>
      <c r="AP124" s="3">
        <v>9.7003433E-2</v>
      </c>
      <c r="AQ124" s="3">
        <v>7.0833077999999994E-2</v>
      </c>
    </row>
    <row r="125" spans="1:43" x14ac:dyDescent="0.3">
      <c r="A125" s="1">
        <v>13251</v>
      </c>
      <c r="B125" s="3">
        <v>8.6</v>
      </c>
      <c r="C125" s="3">
        <v>79.299999999999898</v>
      </c>
      <c r="D125" s="3">
        <v>0.61</v>
      </c>
      <c r="E125" s="3">
        <v>44.689999999999898</v>
      </c>
      <c r="F125" s="3">
        <f>(B125-B$161)/B$162</f>
        <v>-0.41330041070043733</v>
      </c>
      <c r="G125" s="3">
        <f>(C125-C$161)/C$162</f>
        <v>0.33760711834903462</v>
      </c>
      <c r="H125" s="3">
        <f>(D125-D$161)/D$162</f>
        <v>-0.42285930848869607</v>
      </c>
      <c r="I125" s="3">
        <f>(E125-E$161)/E$162</f>
        <v>0.99823265803473693</v>
      </c>
      <c r="J125" s="2">
        <v>1004028</v>
      </c>
      <c r="K125" s="1">
        <v>3641918</v>
      </c>
      <c r="L125" s="3">
        <f>O125+P125*$G125+Q125*$H125+R125*$I125</f>
        <v>-0.25024655429800657</v>
      </c>
      <c r="M125" s="3">
        <f>L125*$B$162+$B$161</f>
        <v>9.5259973604154133</v>
      </c>
      <c r="N125" s="1">
        <v>1</v>
      </c>
      <c r="O125" s="3">
        <v>0.152735132</v>
      </c>
      <c r="P125" s="3">
        <v>-0.40878743200000001</v>
      </c>
      <c r="Q125" s="3">
        <v>0.37351620499999999</v>
      </c>
      <c r="R125" s="3">
        <v>-0.107216824</v>
      </c>
      <c r="S125" s="3">
        <f>V125+W125*$G125+X125*$H125+Y125*$I125</f>
        <v>-0.25362633086968711</v>
      </c>
      <c r="T125" s="3">
        <f>S125*$B$162+$B$161</f>
        <v>9.5068033085038444</v>
      </c>
      <c r="U125" s="1">
        <v>2</v>
      </c>
      <c r="V125" s="3">
        <v>-0.13655372900000001</v>
      </c>
      <c r="W125" s="3">
        <v>-0.53975352499999996</v>
      </c>
      <c r="X125" s="3">
        <v>6.0196410000000001E-3</v>
      </c>
      <c r="Y125" s="3">
        <v>6.7817348E-2</v>
      </c>
      <c r="Z125" s="3">
        <f>AC125+AD125*$G125+AE125*$H125+AF125*$I125</f>
        <v>-0.2258274858833097</v>
      </c>
      <c r="AA125" s="3">
        <f>Z125*$B$162+$B$161</f>
        <v>9.664675422956936</v>
      </c>
      <c r="AB125" s="1">
        <v>0</v>
      </c>
      <c r="AC125" s="3">
        <v>0.54283203499999999</v>
      </c>
      <c r="AD125" s="3">
        <v>-0.49819849599999999</v>
      </c>
      <c r="AE125" s="3">
        <v>0.48327922000000001</v>
      </c>
      <c r="AF125" s="3">
        <v>-0.39680633799999998</v>
      </c>
      <c r="AG125" s="3">
        <v>-1.230871E-2</v>
      </c>
      <c r="AH125" s="3">
        <v>-0.36433726999999999</v>
      </c>
      <c r="AI125" s="3">
        <v>0.46381388600000001</v>
      </c>
      <c r="AJ125" s="3">
        <v>-0.104195705</v>
      </c>
      <c r="AK125" s="3">
        <f>AN125+AO125*$G125+AP125*$H125+AQ125*$I125</f>
        <v>-0.28262189579564012</v>
      </c>
      <c r="AL125" s="3">
        <f>AK125*$B$162+$B$161</f>
        <v>9.3421349150196775</v>
      </c>
      <c r="AM125" s="1">
        <v>2</v>
      </c>
      <c r="AN125" s="3">
        <v>7.5780177000000004E-2</v>
      </c>
      <c r="AO125" s="3">
        <v>-0.16857382100000001</v>
      </c>
      <c r="AP125" s="3">
        <v>0.83152748499999996</v>
      </c>
      <c r="AQ125" s="3">
        <v>5.0217537999999999E-2</v>
      </c>
    </row>
    <row r="126" spans="1:43" x14ac:dyDescent="0.3">
      <c r="A126" s="1">
        <v>13253</v>
      </c>
      <c r="B126" s="3">
        <v>7.8</v>
      </c>
      <c r="C126" s="3">
        <v>69.400000000000006</v>
      </c>
      <c r="D126" s="3">
        <v>5.69</v>
      </c>
      <c r="E126" s="3">
        <v>32.74</v>
      </c>
      <c r="F126" s="3">
        <f>(B126-B$161)/B$162</f>
        <v>-0.55416807479769359</v>
      </c>
      <c r="G126" s="3">
        <f>(C126-C$161)/C$162</f>
        <v>-2.8869238449263854E-2</v>
      </c>
      <c r="H126" s="3">
        <f>(D126-D$161)/D$162</f>
        <v>3.69917690503399</v>
      </c>
      <c r="I126" s="3">
        <f>(E126-E$161)/E$162</f>
        <v>0.30857915452086149</v>
      </c>
      <c r="J126" s="2">
        <v>704495.59999999905</v>
      </c>
      <c r="K126" s="1">
        <v>3422002</v>
      </c>
      <c r="L126" s="3">
        <f>O126+P126*$G126+Q126*$H126+R126*$I126</f>
        <v>0.29958324315197937</v>
      </c>
      <c r="M126" s="3">
        <f>L126*$B$162+$B$161</f>
        <v>12.648529708622046</v>
      </c>
      <c r="N126" s="1">
        <v>0</v>
      </c>
      <c r="O126" s="3">
        <v>-0.29754170299999999</v>
      </c>
      <c r="P126" s="3">
        <v>-0.36655891800000001</v>
      </c>
      <c r="Q126" s="3">
        <v>0.15384221300000001</v>
      </c>
      <c r="R126" s="3">
        <v>5.6559581999999997E-2</v>
      </c>
      <c r="S126" s="3">
        <f>V126+W126*$G126+X126*$H126+Y126*$I126</f>
        <v>0.17759962649895891</v>
      </c>
      <c r="T126" s="3">
        <f>S126*$B$162+$B$161</f>
        <v>11.955773894519517</v>
      </c>
      <c r="U126" s="1">
        <v>0</v>
      </c>
      <c r="V126" s="3">
        <v>-0.54906074100000002</v>
      </c>
      <c r="W126" s="3">
        <v>-0.34651111899999998</v>
      </c>
      <c r="X126" s="3">
        <v>0.18161730300000001</v>
      </c>
      <c r="Y126" s="3">
        <v>0.14525389</v>
      </c>
      <c r="Z126" s="3">
        <f>AC126+AD126*$G126+AE126*$H126+AF126*$I126</f>
        <v>0.51298608017684666</v>
      </c>
      <c r="AA126" s="3">
        <f>Z126*$B$162+$B$161</f>
        <v>13.860463410468807</v>
      </c>
      <c r="AB126" s="1">
        <v>1</v>
      </c>
      <c r="AC126" s="3">
        <v>-0.27574183299999999</v>
      </c>
      <c r="AD126" s="3">
        <v>-0.23985341199999999</v>
      </c>
      <c r="AE126" s="3">
        <v>0.21363271</v>
      </c>
      <c r="AF126" s="3">
        <v>-2.7421357E-2</v>
      </c>
      <c r="AG126" s="3">
        <v>-0.24282594499999999</v>
      </c>
      <c r="AH126" s="3">
        <v>-0.36612566499999999</v>
      </c>
      <c r="AI126" s="3">
        <v>0.12927796599999999</v>
      </c>
      <c r="AJ126" s="3">
        <v>5.5957411999999998E-2</v>
      </c>
      <c r="AK126" s="3">
        <f>AN126+AO126*$G126+AP126*$H126+AQ126*$I126</f>
        <v>0.13442500108042829</v>
      </c>
      <c r="AL126" s="3">
        <f>AK126*$B$162+$B$161</f>
        <v>11.710581354725729</v>
      </c>
      <c r="AM126" s="1">
        <v>0</v>
      </c>
      <c r="AN126" s="3">
        <v>-0.25974846699999998</v>
      </c>
      <c r="AO126" s="3">
        <v>-0.46703683299999998</v>
      </c>
      <c r="AP126" s="3">
        <v>9.7003433E-2</v>
      </c>
      <c r="AQ126" s="3">
        <v>7.0833077999999994E-2</v>
      </c>
    </row>
    <row r="127" spans="1:43" x14ac:dyDescent="0.3">
      <c r="A127" s="1">
        <v>13255</v>
      </c>
      <c r="B127" s="3">
        <v>11.1</v>
      </c>
      <c r="C127" s="3">
        <v>53.6</v>
      </c>
      <c r="D127" s="3">
        <v>0.77</v>
      </c>
      <c r="E127" s="3">
        <v>29.079999999999899</v>
      </c>
      <c r="F127" s="3">
        <f>(B127-B$161)/B$162</f>
        <v>2.691103960348858E-2</v>
      </c>
      <c r="G127" s="3">
        <f>(C127-C$161)/C$162</f>
        <v>-0.61375069677382754</v>
      </c>
      <c r="H127" s="3">
        <f>(D127-D$161)/D$162</f>
        <v>-0.29303139625176106</v>
      </c>
      <c r="I127" s="3">
        <f>(E127-E$161)/E$162</f>
        <v>9.7354734197775503E-2</v>
      </c>
      <c r="J127" s="2">
        <v>754916.19999999902</v>
      </c>
      <c r="K127" s="1">
        <v>3685029</v>
      </c>
      <c r="L127" s="3">
        <f>O127+P127*$G127+Q127*$H127+R127*$I127</f>
        <v>-0.1121401670747432</v>
      </c>
      <c r="M127" s="3">
        <f>L127*$B$162+$B$161</f>
        <v>10.310315823326325</v>
      </c>
      <c r="N127" s="1">
        <v>0</v>
      </c>
      <c r="O127" s="3">
        <v>-0.29754170299999999</v>
      </c>
      <c r="P127" s="3">
        <v>-0.36655891800000001</v>
      </c>
      <c r="Q127" s="3">
        <v>0.15384221300000001</v>
      </c>
      <c r="R127" s="3">
        <v>5.6559581999999997E-2</v>
      </c>
      <c r="S127" s="3">
        <f>V127+W127*$G127+X127*$H127+Y127*$I127</f>
        <v>0.27395881877845812</v>
      </c>
      <c r="T127" s="3">
        <f>S127*$B$162+$B$161</f>
        <v>12.50300632232763</v>
      </c>
      <c r="U127" s="1">
        <v>3</v>
      </c>
      <c r="V127" s="3">
        <v>0.57876851500000004</v>
      </c>
      <c r="W127" s="3">
        <v>-0.118666143</v>
      </c>
      <c r="X127" s="3">
        <v>1.1943427209999999</v>
      </c>
      <c r="Y127" s="3">
        <v>-0.28412803199999997</v>
      </c>
      <c r="Z127" s="3">
        <f>AC127+AD127*$G127+AE127*$H127+AF127*$I127</f>
        <v>-0.19380232447984491</v>
      </c>
      <c r="AA127" s="3">
        <f>Z127*$B$162+$B$161</f>
        <v>9.8465491644359151</v>
      </c>
      <c r="AB127" s="1">
        <v>1</v>
      </c>
      <c r="AC127" s="3">
        <v>-0.27574183299999999</v>
      </c>
      <c r="AD127" s="3">
        <v>-0.23985341199999999</v>
      </c>
      <c r="AE127" s="3">
        <v>0.21363271</v>
      </c>
      <c r="AF127" s="3">
        <v>-2.7421357E-2</v>
      </c>
      <c r="AG127" s="3">
        <v>0.16864795399999999</v>
      </c>
      <c r="AH127" s="3">
        <v>-0.27106081300000001</v>
      </c>
      <c r="AI127" s="3">
        <v>0.66355844900000005</v>
      </c>
      <c r="AJ127" s="3">
        <v>-0.128008394</v>
      </c>
      <c r="AK127" s="3">
        <f>AN127+AO127*$G127+AP127*$H127+AQ127*$I127</f>
        <v>-5.9532267790632122E-2</v>
      </c>
      <c r="AL127" s="3">
        <f>AK127*$B$162+$B$161</f>
        <v>10.609080764854937</v>
      </c>
      <c r="AM127" s="1">
        <v>2</v>
      </c>
      <c r="AN127" s="3">
        <v>7.5780177000000004E-2</v>
      </c>
      <c r="AO127" s="3">
        <v>-0.16857382100000001</v>
      </c>
      <c r="AP127" s="3">
        <v>0.83152748499999996</v>
      </c>
      <c r="AQ127" s="3">
        <v>5.0217537999999999E-2</v>
      </c>
    </row>
    <row r="128" spans="1:43" x14ac:dyDescent="0.3">
      <c r="A128" s="1">
        <v>13257</v>
      </c>
      <c r="B128" s="3">
        <v>13.1</v>
      </c>
      <c r="C128" s="3">
        <v>64.5</v>
      </c>
      <c r="D128" s="3">
        <v>1.0900000000000001</v>
      </c>
      <c r="E128" s="3">
        <v>11.81</v>
      </c>
      <c r="F128" s="3">
        <f>(B128-B$161)/B$162</f>
        <v>0.37908019984662933</v>
      </c>
      <c r="G128" s="3">
        <f>(C128-C$161)/C$162</f>
        <v>-0.21025652615751478</v>
      </c>
      <c r="H128" s="3">
        <f>(D128-D$161)/D$162</f>
        <v>-3.3375571777890994E-2</v>
      </c>
      <c r="I128" s="3">
        <f>(E128-E$161)/E$162</f>
        <v>-0.89932442945784485</v>
      </c>
      <c r="J128" s="2">
        <v>842085.9</v>
      </c>
      <c r="K128" s="1">
        <v>3827075</v>
      </c>
      <c r="L128" s="3">
        <f>O128+P128*$G128+Q128*$H128+R128*$I128</f>
        <v>0.3226417495510705</v>
      </c>
      <c r="M128" s="3">
        <f>L128*$B$162+$B$161</f>
        <v>12.779481018402672</v>
      </c>
      <c r="N128" s="1">
        <v>1</v>
      </c>
      <c r="O128" s="3">
        <v>0.152735132</v>
      </c>
      <c r="P128" s="3">
        <v>-0.40878743200000001</v>
      </c>
      <c r="Q128" s="3">
        <v>0.37351620499999999</v>
      </c>
      <c r="R128" s="3">
        <v>-0.107216824</v>
      </c>
      <c r="S128" s="3">
        <f>V128+W128*$G128+X128*$H128+Y128*$I128</f>
        <v>-9.2756014648178703E-2</v>
      </c>
      <c r="T128" s="3">
        <f>S128*$B$162+$B$161</f>
        <v>10.420400149921997</v>
      </c>
      <c r="U128" s="1">
        <v>1</v>
      </c>
      <c r="V128" s="3">
        <v>-0.18342203200000001</v>
      </c>
      <c r="W128" s="3">
        <v>-0.17380490200000001</v>
      </c>
      <c r="X128" s="3">
        <v>0.64175570999999998</v>
      </c>
      <c r="Y128" s="3">
        <v>-8.3997902999999999E-2</v>
      </c>
      <c r="Z128" s="3">
        <f>AC128+AD128*$G128+AE128*$H128+AF128*$I128</f>
        <v>-0.20778050541357831</v>
      </c>
      <c r="AA128" s="3">
        <f>Z128*$B$162+$B$161</f>
        <v>9.7671658310169249</v>
      </c>
      <c r="AB128" s="1">
        <v>1</v>
      </c>
      <c r="AC128" s="3">
        <v>-0.27574183299999999</v>
      </c>
      <c r="AD128" s="3">
        <v>-0.23985341199999999</v>
      </c>
      <c r="AE128" s="3">
        <v>0.21363271</v>
      </c>
      <c r="AF128" s="3">
        <v>-2.7421357E-2</v>
      </c>
      <c r="AG128" s="3">
        <v>0.16431191000000001</v>
      </c>
      <c r="AH128" s="3">
        <v>-0.30495973700000001</v>
      </c>
      <c r="AI128" s="3">
        <v>0.71992474699999998</v>
      </c>
      <c r="AJ128" s="3">
        <v>-8.6940745E-2</v>
      </c>
      <c r="AK128" s="3">
        <f>AN128+AO128*$G128+AP128*$H128+AQ128*$I128</f>
        <v>3.8309359033024404E-2</v>
      </c>
      <c r="AL128" s="3">
        <f>AK128*$B$162+$B$161</f>
        <v>11.164732070358838</v>
      </c>
      <c r="AM128" s="1">
        <v>2</v>
      </c>
      <c r="AN128" s="3">
        <v>7.5780177000000004E-2</v>
      </c>
      <c r="AO128" s="3">
        <v>-0.16857382100000001</v>
      </c>
      <c r="AP128" s="3">
        <v>0.83152748499999996</v>
      </c>
      <c r="AQ128" s="3">
        <v>5.0217537999999999E-2</v>
      </c>
    </row>
    <row r="129" spans="1:43" x14ac:dyDescent="0.3">
      <c r="A129" s="1">
        <v>13259</v>
      </c>
      <c r="B129" s="3">
        <v>8</v>
      </c>
      <c r="C129" s="3">
        <v>100</v>
      </c>
      <c r="D129" s="3">
        <v>0.16</v>
      </c>
      <c r="E129" s="3">
        <v>63.46</v>
      </c>
      <c r="F129" s="3">
        <f>(B129-B$161)/B$162</f>
        <v>-0.5189511587733795</v>
      </c>
      <c r="G129" s="3">
        <f>(C129-C$161)/C$162</f>
        <v>1.1038758643818527</v>
      </c>
      <c r="H129" s="3">
        <f>(D129-D$161)/D$162</f>
        <v>-0.78800031165507567</v>
      </c>
      <c r="I129" s="3">
        <f>(E129-E$161)/E$162</f>
        <v>2.0814792070686807</v>
      </c>
      <c r="J129" s="2">
        <v>703256.8</v>
      </c>
      <c r="K129" s="1">
        <v>3552857</v>
      </c>
      <c r="L129" s="3">
        <f>O129+P129*$G129+Q129*$H129+R129*$I129</f>
        <v>-0.70567736335033704</v>
      </c>
      <c r="M129" s="3">
        <f>L129*$B$162+$B$161</f>
        <v>6.9395652677364472</v>
      </c>
      <c r="N129" s="1">
        <v>0</v>
      </c>
      <c r="O129" s="3">
        <v>-0.29754170299999999</v>
      </c>
      <c r="P129" s="3">
        <v>-0.36655891800000001</v>
      </c>
      <c r="Q129" s="3">
        <v>0.15384221300000001</v>
      </c>
      <c r="R129" s="3">
        <v>5.6559581999999997E-2</v>
      </c>
      <c r="S129" s="3">
        <f>V129+W129*$G129+X129*$H129+Y129*$I129</f>
        <v>-0.7723375415891609</v>
      </c>
      <c r="T129" s="3">
        <f>S129*$B$162+$B$161</f>
        <v>6.5609961835338382</v>
      </c>
      <c r="U129" s="1">
        <v>0</v>
      </c>
      <c r="V129" s="3">
        <v>-0.54906074100000002</v>
      </c>
      <c r="W129" s="3">
        <v>-0.34651111899999998</v>
      </c>
      <c r="X129" s="3">
        <v>0.18161730300000001</v>
      </c>
      <c r="Y129" s="3">
        <v>0.14525389</v>
      </c>
      <c r="Z129" s="3">
        <f>AC129+AD129*$G129+AE129*$H129+AF129*$I129</f>
        <v>-0.76592985198126229</v>
      </c>
      <c r="AA129" s="3">
        <f>Z129*$B$162+$B$161</f>
        <v>6.5973860230273056</v>
      </c>
      <c r="AB129" s="1">
        <v>1</v>
      </c>
      <c r="AC129" s="3">
        <v>-0.27574183299999999</v>
      </c>
      <c r="AD129" s="3">
        <v>-0.23985341199999999</v>
      </c>
      <c r="AE129" s="3">
        <v>0.21363271</v>
      </c>
      <c r="AF129" s="3">
        <v>-2.7421357E-2</v>
      </c>
      <c r="AG129" s="3">
        <v>-2.6137133999999999E-2</v>
      </c>
      <c r="AH129" s="3">
        <v>-0.35661879299999999</v>
      </c>
      <c r="AI129" s="3">
        <v>0.27253209499999997</v>
      </c>
      <c r="AJ129" s="3">
        <v>-7.0189355999999994E-2</v>
      </c>
      <c r="AK129" s="3">
        <f>AN129+AO129*$G129+AP129*$H129+AQ129*$I129</f>
        <v>-0.70430031113197611</v>
      </c>
      <c r="AL129" s="3">
        <f>AK129*$B$162+$B$161</f>
        <v>6.9473856698262288</v>
      </c>
      <c r="AM129" s="1">
        <v>0</v>
      </c>
      <c r="AN129" s="3">
        <v>-0.25974846699999998</v>
      </c>
      <c r="AO129" s="3">
        <v>-0.46703683299999998</v>
      </c>
      <c r="AP129" s="3">
        <v>9.7003433E-2</v>
      </c>
      <c r="AQ129" s="3">
        <v>7.0833077999999994E-2</v>
      </c>
    </row>
    <row r="130" spans="1:43" x14ac:dyDescent="0.3">
      <c r="A130" s="1">
        <v>13261</v>
      </c>
      <c r="B130" s="3">
        <v>15.9</v>
      </c>
      <c r="C130" s="3">
        <v>45.399999999999899</v>
      </c>
      <c r="D130" s="3">
        <v>0.59</v>
      </c>
      <c r="E130" s="3">
        <v>46.53</v>
      </c>
      <c r="F130" s="3">
        <f>(B130-B$161)/B$162</f>
        <v>0.87211702418702641</v>
      </c>
      <c r="G130" s="3">
        <f>(C130-C$161)/C$162</f>
        <v>-0.91729677008151622</v>
      </c>
      <c r="H130" s="3">
        <f>(D130-D$161)/D$162</f>
        <v>-0.43908779751831295</v>
      </c>
      <c r="I130" s="3">
        <f>(E130-E$161)/E$162</f>
        <v>1.104421984098805</v>
      </c>
      <c r="J130" s="2">
        <v>763457.09999999905</v>
      </c>
      <c r="K130" s="1">
        <v>3551752</v>
      </c>
      <c r="L130" s="3">
        <f>O130+P130*$G130+Q130*$H130+R130*$I130</f>
        <v>3.3617015826701249E-2</v>
      </c>
      <c r="M130" s="3">
        <f>L130*$B$162+$B$161</f>
        <v>11.138083835725892</v>
      </c>
      <c r="N130" s="1">
        <v>0</v>
      </c>
      <c r="O130" s="3">
        <v>-0.29754170299999999</v>
      </c>
      <c r="P130" s="3">
        <v>-0.36655891800000001</v>
      </c>
      <c r="Q130" s="3">
        <v>0.15384221300000001</v>
      </c>
      <c r="R130" s="3">
        <v>5.6559581999999997E-2</v>
      </c>
      <c r="S130" s="3">
        <f>V130+W130*$G130+X130*$H130+Y130*$I130</f>
        <v>0.43081625524855105</v>
      </c>
      <c r="T130" s="3">
        <f>S130*$B$162+$B$161</f>
        <v>13.393813662537642</v>
      </c>
      <c r="U130" s="1">
        <v>2</v>
      </c>
      <c r="V130" s="3">
        <v>-0.13655372900000001</v>
      </c>
      <c r="W130" s="3">
        <v>-0.53975352499999996</v>
      </c>
      <c r="X130" s="3">
        <v>6.0196410000000001E-3</v>
      </c>
      <c r="Y130" s="3">
        <v>6.7817348E-2</v>
      </c>
      <c r="Z130" s="3">
        <f>AC130+AD130*$G130+AE130*$H130+AF130*$I130</f>
        <v>0.34938425482715996</v>
      </c>
      <c r="AA130" s="3">
        <f>Z130*$B$162+$B$161</f>
        <v>12.931354085639033</v>
      </c>
      <c r="AB130" s="1">
        <v>0</v>
      </c>
      <c r="AC130" s="3">
        <v>0.54283203499999999</v>
      </c>
      <c r="AD130" s="3">
        <v>-0.49819849599999999</v>
      </c>
      <c r="AE130" s="3">
        <v>0.48327922000000001</v>
      </c>
      <c r="AF130" s="3">
        <v>-0.39680633799999998</v>
      </c>
      <c r="AG130" s="3">
        <v>-9.4764939000000006E-2</v>
      </c>
      <c r="AH130" s="3">
        <v>-0.340303725</v>
      </c>
      <c r="AI130" s="3">
        <v>0.26677520100000002</v>
      </c>
      <c r="AJ130" s="3">
        <v>-2.7093261E-2</v>
      </c>
      <c r="AK130" s="3">
        <f>AN130+AO130*$G130+AP130*$H130+AQ130*$I130</f>
        <v>0.20429949621690069</v>
      </c>
      <c r="AL130" s="3">
        <f>AK130*$B$162+$B$161</f>
        <v>12.107404830627086</v>
      </c>
      <c r="AM130" s="1">
        <v>0</v>
      </c>
      <c r="AN130" s="3">
        <v>-0.25974846699999998</v>
      </c>
      <c r="AO130" s="3">
        <v>-0.46703683299999998</v>
      </c>
      <c r="AP130" s="3">
        <v>9.7003433E-2</v>
      </c>
      <c r="AQ130" s="3">
        <v>7.0833077999999994E-2</v>
      </c>
    </row>
    <row r="131" spans="1:43" x14ac:dyDescent="0.3">
      <c r="A131" s="1">
        <v>13263</v>
      </c>
      <c r="B131" s="3">
        <v>7.1</v>
      </c>
      <c r="C131" s="3">
        <v>97.9</v>
      </c>
      <c r="D131" s="3">
        <v>0.34</v>
      </c>
      <c r="E131" s="3">
        <v>62.34</v>
      </c>
      <c r="F131" s="3">
        <f>(B131-B$161)/B$162</f>
        <v>-0.67742728088279291</v>
      </c>
      <c r="G131" s="3">
        <f>(C131-C$161)/C$162</f>
        <v>1.0261384553640311</v>
      </c>
      <c r="H131" s="3">
        <f>(D131-D$161)/D$162</f>
        <v>-0.64194391038852383</v>
      </c>
      <c r="I131" s="3">
        <f>(E131-E$161)/E$162</f>
        <v>2.016842225986208</v>
      </c>
      <c r="J131" s="2">
        <v>734217.9</v>
      </c>
      <c r="K131" s="1">
        <v>3623162</v>
      </c>
      <c r="L131" s="3">
        <f>O131+P131*$G131+Q131*$H131+R131*$I131</f>
        <v>-0.6583682234507453</v>
      </c>
      <c r="M131" s="3">
        <f>L131*$B$162+$B$161</f>
        <v>7.2082380831921169</v>
      </c>
      <c r="N131" s="1">
        <v>0</v>
      </c>
      <c r="O131" s="3">
        <v>-0.29754170299999999</v>
      </c>
      <c r="P131" s="3">
        <v>-0.36655891800000001</v>
      </c>
      <c r="Q131" s="3">
        <v>0.15384221300000001</v>
      </c>
      <c r="R131" s="3">
        <v>5.6559581999999997E-2</v>
      </c>
      <c r="S131" s="3">
        <f>V131+W131*$G131+X131*$H131+Y131*$I131</f>
        <v>-0.72826306825840359</v>
      </c>
      <c r="T131" s="3">
        <f>S131*$B$162+$B$161</f>
        <v>6.8112990396972108</v>
      </c>
      <c r="U131" s="1">
        <v>0</v>
      </c>
      <c r="V131" s="3">
        <v>-0.54906074100000002</v>
      </c>
      <c r="W131" s="3">
        <v>-0.34651111899999998</v>
      </c>
      <c r="X131" s="3">
        <v>0.18161730300000001</v>
      </c>
      <c r="Y131" s="3">
        <v>0.14525389</v>
      </c>
      <c r="Z131" s="3">
        <f>AC131+AD131*$G131+AE131*$H131+AF131*$I131</f>
        <v>-0.71430941063921249</v>
      </c>
      <c r="AA131" s="3">
        <f>Z131*$B$162+$B$161</f>
        <v>6.8905431030306232</v>
      </c>
      <c r="AB131" s="1">
        <v>1</v>
      </c>
      <c r="AC131" s="3">
        <v>-0.27574183299999999</v>
      </c>
      <c r="AD131" s="3">
        <v>-0.23985341199999999</v>
      </c>
      <c r="AE131" s="3">
        <v>0.21363271</v>
      </c>
      <c r="AF131" s="3">
        <v>-2.7421357E-2</v>
      </c>
      <c r="AG131" s="3">
        <v>0.12584005100000001</v>
      </c>
      <c r="AH131" s="3">
        <v>-0.287246108</v>
      </c>
      <c r="AI131" s="3">
        <v>0.50856804</v>
      </c>
      <c r="AJ131" s="3">
        <v>-0.12476950000000001</v>
      </c>
      <c r="AK131" s="3">
        <f>AN131+AO131*$G131+AP131*$H131+AQ131*$I131</f>
        <v>-0.65840454180688535</v>
      </c>
      <c r="AL131" s="3">
        <f>AK131*$B$162+$B$161</f>
        <v>7.2080318280156845</v>
      </c>
      <c r="AM131" s="1">
        <v>0</v>
      </c>
      <c r="AN131" s="3">
        <v>-0.25974846699999998</v>
      </c>
      <c r="AO131" s="3">
        <v>-0.46703683299999998</v>
      </c>
      <c r="AP131" s="3">
        <v>9.7003433E-2</v>
      </c>
      <c r="AQ131" s="3">
        <v>7.0833077999999994E-2</v>
      </c>
    </row>
    <row r="132" spans="1:43" x14ac:dyDescent="0.3">
      <c r="A132" s="1">
        <v>13265</v>
      </c>
      <c r="B132" s="3">
        <v>5.6</v>
      </c>
      <c r="C132" s="3">
        <v>100</v>
      </c>
      <c r="D132" s="3">
        <v>0.78</v>
      </c>
      <c r="E132" s="3">
        <v>61.3599999999999</v>
      </c>
      <c r="F132" s="3">
        <f>(B132-B$161)/B$162</f>
        <v>-0.94155415106514839</v>
      </c>
      <c r="G132" s="3">
        <f>(C132-C$161)/C$162</f>
        <v>1.1038758643818527</v>
      </c>
      <c r="H132" s="3">
        <f>(D132-D$161)/D$162</f>
        <v>-0.28491715173695259</v>
      </c>
      <c r="I132" s="3">
        <f>(E132-E$161)/E$162</f>
        <v>1.9602848675390387</v>
      </c>
      <c r="J132" s="2">
        <v>884376.9</v>
      </c>
      <c r="K132" s="1">
        <v>3717493</v>
      </c>
      <c r="L132" s="3">
        <f>O132+P132*$G132+Q132*$H132+R132*$I132</f>
        <v>-0.61511213873642989</v>
      </c>
      <c r="M132" s="3">
        <f>L132*$B$162+$B$161</f>
        <v>7.4538932375756008</v>
      </c>
      <c r="N132" s="1">
        <v>1</v>
      </c>
      <c r="O132" s="3">
        <v>0.152735132</v>
      </c>
      <c r="P132" s="3">
        <v>-0.40878743200000001</v>
      </c>
      <c r="Q132" s="3">
        <v>0.37351620499999999</v>
      </c>
      <c r="R132" s="3">
        <v>-0.107216824</v>
      </c>
      <c r="S132" s="3">
        <f>V132+W132*$G132+X132*$H132+Y132*$I132</f>
        <v>-0.60114839588969704</v>
      </c>
      <c r="T132" s="3">
        <f>S132*$B$162+$B$161</f>
        <v>7.5331945758136918</v>
      </c>
      <c r="U132" s="1">
        <v>2</v>
      </c>
      <c r="V132" s="3">
        <v>-0.13655372900000001</v>
      </c>
      <c r="W132" s="3">
        <v>-0.53975352499999996</v>
      </c>
      <c r="X132" s="3">
        <v>6.0196410000000001E-3</v>
      </c>
      <c r="Y132" s="3">
        <v>6.7817348E-2</v>
      </c>
      <c r="Z132" s="3">
        <f>AC132+AD132*$G132+AE132*$H132+AF132*$I132</f>
        <v>-0.92266525898677609</v>
      </c>
      <c r="AA132" s="3">
        <f>Z132*$B$162+$B$161</f>
        <v>5.7072716990058483</v>
      </c>
      <c r="AB132" s="1">
        <v>0</v>
      </c>
      <c r="AC132" s="3">
        <v>0.54283203499999999</v>
      </c>
      <c r="AD132" s="3">
        <v>-0.49819849599999999</v>
      </c>
      <c r="AE132" s="3">
        <v>0.48327922000000001</v>
      </c>
      <c r="AF132" s="3">
        <v>-0.39680633799999998</v>
      </c>
      <c r="AG132" s="3">
        <v>0.20643283500000001</v>
      </c>
      <c r="AH132" s="3">
        <v>-0.275969933</v>
      </c>
      <c r="AI132" s="3">
        <v>0.72732820099999995</v>
      </c>
      <c r="AJ132" s="3">
        <v>-0.16346934900000001</v>
      </c>
      <c r="AK132" s="3">
        <f>AN132+AO132*$G132+AP132*$H132+AQ132*$I132</f>
        <v>-0.24878015815925159</v>
      </c>
      <c r="AL132" s="3">
        <f>AK132*$B$162+$B$161</f>
        <v>9.5343251545796885</v>
      </c>
      <c r="AM132" s="1">
        <v>2</v>
      </c>
      <c r="AN132" s="3">
        <v>7.5780177000000004E-2</v>
      </c>
      <c r="AO132" s="3">
        <v>-0.16857382100000001</v>
      </c>
      <c r="AP132" s="3">
        <v>0.83152748499999996</v>
      </c>
      <c r="AQ132" s="3">
        <v>5.0217537999999999E-2</v>
      </c>
    </row>
    <row r="133" spans="1:43" x14ac:dyDescent="0.3">
      <c r="A133" s="1">
        <v>13267</v>
      </c>
      <c r="B133" s="3">
        <v>6.5</v>
      </c>
      <c r="C133" s="3">
        <v>79.299999999999898</v>
      </c>
      <c r="D133" s="3">
        <v>2.0499999999999998</v>
      </c>
      <c r="E133" s="3">
        <v>29.19</v>
      </c>
      <c r="F133" s="3">
        <f>(B133-B$161)/B$162</f>
        <v>-0.78307802895573508</v>
      </c>
      <c r="G133" s="3">
        <f>(C133-C$161)/C$162</f>
        <v>0.33760711834903462</v>
      </c>
      <c r="H133" s="3">
        <f>(D133-D$161)/D$162</f>
        <v>0.7455919016437188</v>
      </c>
      <c r="I133" s="3">
        <f>(E133-E$161)/E$162</f>
        <v>0.10370300912552426</v>
      </c>
      <c r="J133" s="2">
        <v>963427.8</v>
      </c>
      <c r="K133" s="1">
        <v>3560039</v>
      </c>
      <c r="L133" s="3">
        <f>O133+P133*$G133+Q133*$H133+R133*$I133</f>
        <v>-0.30072569601909022</v>
      </c>
      <c r="M133" s="3">
        <f>L133*$B$162+$B$161</f>
        <v>9.2393218225220206</v>
      </c>
      <c r="N133" s="1">
        <v>0</v>
      </c>
      <c r="O133" s="3">
        <v>-0.29754170299999999</v>
      </c>
      <c r="P133" s="3">
        <v>-0.36655891800000001</v>
      </c>
      <c r="Q133" s="3">
        <v>0.15384221300000001</v>
      </c>
      <c r="R133" s="3">
        <v>5.6559581999999997E-2</v>
      </c>
      <c r="S133" s="3">
        <f>V133+W133*$G133+X133*$H133+Y133*$I133</f>
        <v>-0.30725730255506828</v>
      </c>
      <c r="T133" s="3">
        <f>S133*$B$162+$B$161</f>
        <v>9.2022282477668167</v>
      </c>
      <c r="U133" s="1">
        <v>2</v>
      </c>
      <c r="V133" s="3">
        <v>-0.13655372900000001</v>
      </c>
      <c r="W133" s="3">
        <v>-0.53975352499999996</v>
      </c>
      <c r="X133" s="3">
        <v>6.0196410000000001E-3</v>
      </c>
      <c r="Y133" s="3">
        <v>6.7817348E-2</v>
      </c>
      <c r="Z133" s="3">
        <f>AC133+AD133*$G133+AE133*$H133+AF133*$I133</f>
        <v>-0.20027891098450792</v>
      </c>
      <c r="AA133" s="3">
        <f>Z133*$B$162+$B$161</f>
        <v>9.8097680533346949</v>
      </c>
      <c r="AB133" s="1">
        <v>1</v>
      </c>
      <c r="AC133" s="3">
        <v>-0.27574183299999999</v>
      </c>
      <c r="AD133" s="3">
        <v>-0.23985341199999999</v>
      </c>
      <c r="AE133" s="3">
        <v>0.21363271</v>
      </c>
      <c r="AF133" s="3">
        <v>-2.7421357E-2</v>
      </c>
      <c r="AG133" s="3">
        <v>-0.17968578599999999</v>
      </c>
      <c r="AH133" s="3">
        <v>-0.42238967100000002</v>
      </c>
      <c r="AI133" s="3">
        <v>0.28056404299999999</v>
      </c>
      <c r="AJ133" s="3">
        <v>1.1071821000000001E-2</v>
      </c>
      <c r="AK133" s="3">
        <f>AN133+AO133*$G133+AP133*$H133+AQ133*$I133</f>
        <v>-0.33775284894132723</v>
      </c>
      <c r="AL133" s="3">
        <f>AK133*$B$162+$B$161</f>
        <v>9.0290413260885831</v>
      </c>
      <c r="AM133" s="1">
        <v>0</v>
      </c>
      <c r="AN133" s="3">
        <v>-0.25974846699999998</v>
      </c>
      <c r="AO133" s="3">
        <v>-0.46703683299999998</v>
      </c>
      <c r="AP133" s="3">
        <v>9.7003433E-2</v>
      </c>
      <c r="AQ133" s="3">
        <v>7.0833077999999994E-2</v>
      </c>
    </row>
    <row r="134" spans="1:43" x14ac:dyDescent="0.3">
      <c r="A134" s="1">
        <v>13269</v>
      </c>
      <c r="B134" s="3">
        <v>7.1</v>
      </c>
      <c r="C134" s="3">
        <v>100</v>
      </c>
      <c r="D134" s="3">
        <v>0.48</v>
      </c>
      <c r="E134" s="3">
        <v>43.21</v>
      </c>
      <c r="F134" s="3">
        <f>(B134-B$161)/B$162</f>
        <v>-0.67742728088279291</v>
      </c>
      <c r="G134" s="3">
        <f>(C134-C$161)/C$162</f>
        <v>1.1038758643818527</v>
      </c>
      <c r="H134" s="3">
        <f>(D134-D$161)/D$162</f>
        <v>-0.52834448718120575</v>
      </c>
      <c r="I134" s="3">
        <f>(E134-E$161)/E$162</f>
        <v>0.91281950446147553</v>
      </c>
      <c r="J134" s="2">
        <v>759410.8</v>
      </c>
      <c r="K134" s="1">
        <v>3608179</v>
      </c>
      <c r="L134" s="3">
        <f>O134+P134*$G134+Q134*$H134+R134*$I134</f>
        <v>-0.73183024097464522</v>
      </c>
      <c r="M134" s="3">
        <f>L134*$B$162+$B$161</f>
        <v>6.7910407484045896</v>
      </c>
      <c r="N134" s="1">
        <v>0</v>
      </c>
      <c r="O134" s="3">
        <v>-0.29754170299999999</v>
      </c>
      <c r="P134" s="3">
        <v>-0.36655891800000001</v>
      </c>
      <c r="Q134" s="3">
        <v>0.15384221300000001</v>
      </c>
      <c r="R134" s="3">
        <v>5.6559581999999997E-2</v>
      </c>
      <c r="S134" s="3">
        <f>V134+W134*$G134+X134*$H134+Y134*$I134</f>
        <v>-0.67365006410443562</v>
      </c>
      <c r="T134" s="3">
        <f>S134*$B$162+$B$161</f>
        <v>7.1214511502128657</v>
      </c>
      <c r="U134" s="1">
        <v>2</v>
      </c>
      <c r="V134" s="3">
        <v>-0.13655372900000001</v>
      </c>
      <c r="W134" s="3">
        <v>-0.53975352499999996</v>
      </c>
      <c r="X134" s="3">
        <v>6.0196410000000001E-3</v>
      </c>
      <c r="Y134" s="3">
        <v>6.7817348E-2</v>
      </c>
      <c r="Z134" s="3">
        <f>AC134+AD134*$G134+AE134*$H134+AF134*$I134</f>
        <v>-0.67841263961491916</v>
      </c>
      <c r="AA134" s="3">
        <f>Z134*$B$162+$B$161</f>
        <v>7.0944040600747318</v>
      </c>
      <c r="AB134" s="1">
        <v>1</v>
      </c>
      <c r="AC134" s="3">
        <v>-0.27574183299999999</v>
      </c>
      <c r="AD134" s="3">
        <v>-0.23985341199999999</v>
      </c>
      <c r="AE134" s="3">
        <v>0.21363271</v>
      </c>
      <c r="AF134" s="3">
        <v>-2.7421357E-2</v>
      </c>
      <c r="AG134" s="3">
        <v>9.5833966000000007E-2</v>
      </c>
      <c r="AH134" s="3">
        <v>-0.29256208099999997</v>
      </c>
      <c r="AI134" s="3">
        <v>0.46713152800000002</v>
      </c>
      <c r="AJ134" s="3">
        <v>-0.119792001</v>
      </c>
      <c r="AK134" s="3">
        <f>AN134+AO134*$G134+AP134*$H134+AQ134*$I134</f>
        <v>-0.76189256862979837</v>
      </c>
      <c r="AL134" s="3">
        <f>AK134*$B$162+$B$161</f>
        <v>6.6203141144517597</v>
      </c>
      <c r="AM134" s="1">
        <v>0</v>
      </c>
      <c r="AN134" s="3">
        <v>-0.25974846699999998</v>
      </c>
      <c r="AO134" s="3">
        <v>-0.46703683299999998</v>
      </c>
      <c r="AP134" s="3">
        <v>9.7003433E-2</v>
      </c>
      <c r="AQ134" s="3">
        <v>7.0833077999999994E-2</v>
      </c>
    </row>
    <row r="135" spans="1:43" x14ac:dyDescent="0.3">
      <c r="A135" s="1">
        <v>13271</v>
      </c>
      <c r="B135" s="3">
        <v>8.6</v>
      </c>
      <c r="C135" s="3">
        <v>72.599999999999895</v>
      </c>
      <c r="D135" s="3">
        <v>0.04</v>
      </c>
      <c r="E135" s="3">
        <v>34.450000000000003</v>
      </c>
      <c r="F135" s="3">
        <f>(B135-B$161)/B$162</f>
        <v>-0.41330041070043733</v>
      </c>
      <c r="G135" s="3">
        <f>(C135-C$161)/C$162</f>
        <v>8.9587765768365163E-2</v>
      </c>
      <c r="H135" s="3">
        <f>(D135-D$161)/D$162</f>
        <v>-0.88537124583277693</v>
      </c>
      <c r="I135" s="3">
        <f>(E135-E$161)/E$162</f>
        <v>0.40726597385213659</v>
      </c>
      <c r="J135" s="2">
        <v>882069.4</v>
      </c>
      <c r="K135" s="1">
        <v>3534470</v>
      </c>
      <c r="L135" s="3">
        <f>O135+P135*$G135+Q135*$H135+R135*$I135</f>
        <v>-0.44355357602767098</v>
      </c>
      <c r="M135" s="3">
        <f>L135*$B$162+$B$161</f>
        <v>8.4281895819250803</v>
      </c>
      <c r="N135" s="1">
        <v>0</v>
      </c>
      <c r="O135" s="3">
        <v>-0.29754170299999999</v>
      </c>
      <c r="P135" s="3">
        <v>-0.36655891800000001</v>
      </c>
      <c r="Q135" s="3">
        <v>0.15384221300000001</v>
      </c>
      <c r="R135" s="3">
        <v>5.6559581999999997E-2</v>
      </c>
      <c r="S135" s="3">
        <f>V135+W135*$G135+X135*$H135+Y135*$I135</f>
        <v>-0.68174566882034382</v>
      </c>
      <c r="T135" s="3">
        <f>S135*$B$162+$B$161</f>
        <v>7.0754754906161033</v>
      </c>
      <c r="U135" s="1">
        <v>0</v>
      </c>
      <c r="V135" s="3">
        <v>-0.54906074100000002</v>
      </c>
      <c r="W135" s="3">
        <v>-0.34651111899999998</v>
      </c>
      <c r="X135" s="3">
        <v>0.18161730300000001</v>
      </c>
      <c r="Y135" s="3">
        <v>0.14525389</v>
      </c>
      <c r="Z135" s="3">
        <f>AC135+AD135*$G135+AE135*$H135+AF135*$I135</f>
        <v>-0.49754180855928365</v>
      </c>
      <c r="AA135" s="3">
        <f>Z135*$B$162+$B$161</f>
        <v>8.1215856050502246</v>
      </c>
      <c r="AB135" s="1">
        <v>1</v>
      </c>
      <c r="AC135" s="3">
        <v>-0.27574183299999999</v>
      </c>
      <c r="AD135" s="3">
        <v>-0.23985341199999999</v>
      </c>
      <c r="AE135" s="3">
        <v>0.21363271</v>
      </c>
      <c r="AF135" s="3">
        <v>-2.7421357E-2</v>
      </c>
      <c r="AG135" s="3">
        <v>-0.24984062600000001</v>
      </c>
      <c r="AH135" s="3">
        <v>-0.38047792699999999</v>
      </c>
      <c r="AI135" s="3">
        <v>0.23674968900000001</v>
      </c>
      <c r="AJ135" s="3">
        <v>8.0959650999999994E-2</v>
      </c>
      <c r="AK135" s="3">
        <f>AN135+AO135*$G135+AP135*$H135+AQ135*$I135</f>
        <v>-0.35862540123265502</v>
      </c>
      <c r="AL135" s="3">
        <f>AK135*$B$162+$B$161</f>
        <v>8.9105042442105606</v>
      </c>
      <c r="AM135" s="1">
        <v>0</v>
      </c>
      <c r="AN135" s="3">
        <v>-0.25974846699999998</v>
      </c>
      <c r="AO135" s="3">
        <v>-0.46703683299999998</v>
      </c>
      <c r="AP135" s="3">
        <v>9.7003433E-2</v>
      </c>
      <c r="AQ135" s="3">
        <v>7.0833077999999994E-2</v>
      </c>
    </row>
    <row r="136" spans="1:43" x14ac:dyDescent="0.3">
      <c r="A136" s="1">
        <v>13273</v>
      </c>
      <c r="B136" s="3">
        <v>9.1999999999999904</v>
      </c>
      <c r="C136" s="3">
        <v>50.299999999999898</v>
      </c>
      <c r="D136" s="3">
        <v>0.25</v>
      </c>
      <c r="E136" s="3">
        <v>59.899999999999899</v>
      </c>
      <c r="F136" s="3">
        <f>(B136-B$161)/B$162</f>
        <v>-0.30764966262749671</v>
      </c>
      <c r="G136" s="3">
        <f>(C136-C$161)/C$162</f>
        <v>-0.73590948237326548</v>
      </c>
      <c r="H136" s="3">
        <f>(D136-D$161)/D$162</f>
        <v>-0.71497211102179981</v>
      </c>
      <c r="I136" s="3">
        <f>(E136-E$161)/E$162</f>
        <v>1.8760259457708155</v>
      </c>
      <c r="J136" s="2">
        <v>743031.8</v>
      </c>
      <c r="K136" s="1">
        <v>3522636</v>
      </c>
      <c r="L136" s="3">
        <f>O136+P136*$G136+Q136*$H136+R136*$I136</f>
        <v>-3.1673167874239072E-2</v>
      </c>
      <c r="M136" s="3">
        <f>L136*$B$162+$B$161</f>
        <v>10.76729507241758</v>
      </c>
      <c r="N136" s="1">
        <v>0</v>
      </c>
      <c r="O136" s="3">
        <v>-0.29754170299999999</v>
      </c>
      <c r="P136" s="3">
        <v>-0.36655891800000001</v>
      </c>
      <c r="Q136" s="3">
        <v>0.15384221300000001</v>
      </c>
      <c r="R136" s="3">
        <v>5.6559581999999997E-2</v>
      </c>
      <c r="S136" s="3">
        <f>V136+W136*$G136+X136*$H136+Y136*$I136</f>
        <v>-0.15141116293998497</v>
      </c>
      <c r="T136" s="3">
        <f>S136*$B$162+$B$161</f>
        <v>10.087292343143515</v>
      </c>
      <c r="U136" s="1">
        <v>0</v>
      </c>
      <c r="V136" s="3">
        <v>-0.54906074100000002</v>
      </c>
      <c r="W136" s="3">
        <v>-0.34651111899999998</v>
      </c>
      <c r="X136" s="3">
        <v>0.18161730300000001</v>
      </c>
      <c r="Y136" s="3">
        <v>0.14525389</v>
      </c>
      <c r="Z136" s="3">
        <f>AC136+AD136*$G136+AE136*$H136+AF136*$I136</f>
        <v>-0.30341603958187058</v>
      </c>
      <c r="AA136" s="3">
        <f>Z136*$B$162+$B$161</f>
        <v>9.2240431220195518</v>
      </c>
      <c r="AB136" s="1">
        <v>1</v>
      </c>
      <c r="AC136" s="3">
        <v>-0.27574183299999999</v>
      </c>
      <c r="AD136" s="3">
        <v>-0.23985341199999999</v>
      </c>
      <c r="AE136" s="3">
        <v>0.21363271</v>
      </c>
      <c r="AF136" s="3">
        <v>-2.7421357E-2</v>
      </c>
      <c r="AG136" s="3">
        <v>-0.14149157700000001</v>
      </c>
      <c r="AH136" s="3">
        <v>-0.35528427400000001</v>
      </c>
      <c r="AI136" s="3">
        <v>0.21122113100000001</v>
      </c>
      <c r="AJ136" s="3">
        <v>-3.7568229999999998E-3</v>
      </c>
      <c r="AK136" s="3">
        <f>AN136+AO136*$G136+AP136*$H136+AQ136*$I136</f>
        <v>0.14747830990071548</v>
      </c>
      <c r="AL136" s="3">
        <f>AK136*$B$162+$B$161</f>
        <v>11.784712257109545</v>
      </c>
      <c r="AM136" s="1">
        <v>0</v>
      </c>
      <c r="AN136" s="3">
        <v>-0.25974846699999998</v>
      </c>
      <c r="AO136" s="3">
        <v>-0.46703683299999998</v>
      </c>
      <c r="AP136" s="3">
        <v>9.7003433E-2</v>
      </c>
      <c r="AQ136" s="3">
        <v>7.0833077999999994E-2</v>
      </c>
    </row>
    <row r="137" spans="1:43" x14ac:dyDescent="0.3">
      <c r="A137" s="1">
        <v>13275</v>
      </c>
      <c r="B137" s="3">
        <v>13.4</v>
      </c>
      <c r="C137" s="3">
        <v>55.2</v>
      </c>
      <c r="D137" s="3">
        <v>0.72</v>
      </c>
      <c r="E137" s="3">
        <v>37.93</v>
      </c>
      <c r="F137" s="3">
        <f>(B137-B$161)/B$162</f>
        <v>0.43190557388310052</v>
      </c>
      <c r="G137" s="3">
        <f>(C137-C$161)/C$162</f>
        <v>-0.55452219466501096</v>
      </c>
      <c r="H137" s="3">
        <f>(D137-D$161)/D$162</f>
        <v>-0.33360261882580328</v>
      </c>
      <c r="I137" s="3">
        <f>(E137-E$161)/E$162</f>
        <v>0.60810230792981912</v>
      </c>
      <c r="J137" s="2">
        <v>795506.19999999902</v>
      </c>
      <c r="K137" s="1">
        <v>3421725</v>
      </c>
      <c r="L137" s="3">
        <f>O137+P137*$G137+Q137*$H137+R137*$I137</f>
        <v>-0.11120480010961939</v>
      </c>
      <c r="M137" s="3">
        <f>L137*$B$162+$B$161</f>
        <v>10.315627855558098</v>
      </c>
      <c r="N137" s="1">
        <v>0</v>
      </c>
      <c r="O137" s="3">
        <v>-0.29754170299999999</v>
      </c>
      <c r="P137" s="3">
        <v>-0.36655891800000001</v>
      </c>
      <c r="Q137" s="3">
        <v>0.15384221300000001</v>
      </c>
      <c r="R137" s="3">
        <v>5.6559581999999997E-2</v>
      </c>
      <c r="S137" s="3">
        <f>V137+W137*$G137+X137*$H137+Y137*$I137</f>
        <v>0.20198329809566432</v>
      </c>
      <c r="T137" s="3">
        <f>S137*$B$162+$B$161</f>
        <v>12.094250935381758</v>
      </c>
      <c r="U137" s="1">
        <v>2</v>
      </c>
      <c r="V137" s="3">
        <v>-0.13655372900000001</v>
      </c>
      <c r="W137" s="3">
        <v>-0.53975352499999996</v>
      </c>
      <c r="X137" s="3">
        <v>6.0196410000000001E-3</v>
      </c>
      <c r="Y137" s="3">
        <v>6.7817348E-2</v>
      </c>
      <c r="Z137" s="3">
        <f>AC137+AD137*$G137+AE137*$H137+AF137*$I137</f>
        <v>-0.23068121458098981</v>
      </c>
      <c r="AA137" s="3">
        <f>Z137*$B$162+$B$161</f>
        <v>9.6371106657571346</v>
      </c>
      <c r="AB137" s="1">
        <v>1</v>
      </c>
      <c r="AC137" s="3">
        <v>-0.27574183299999999</v>
      </c>
      <c r="AD137" s="3">
        <v>-0.23985341199999999</v>
      </c>
      <c r="AE137" s="3">
        <v>0.21363271</v>
      </c>
      <c r="AF137" s="3">
        <v>-2.7421357E-2</v>
      </c>
      <c r="AG137" s="3">
        <v>-0.29592669500000002</v>
      </c>
      <c r="AH137" s="3">
        <v>-0.37693285799999998</v>
      </c>
      <c r="AI137" s="3">
        <v>0.123202491</v>
      </c>
      <c r="AJ137" s="3">
        <v>9.8842007999999995E-2</v>
      </c>
      <c r="AK137" s="3">
        <f>AN137+AO137*$G137+AP137*$H137+AQ137*$I137</f>
        <v>9.9469815502357742E-3</v>
      </c>
      <c r="AL137" s="3">
        <f>AK137*$B$162+$B$161</f>
        <v>11.003659604710755</v>
      </c>
      <c r="AM137" s="1">
        <v>0</v>
      </c>
      <c r="AN137" s="3">
        <v>-0.25974846699999998</v>
      </c>
      <c r="AO137" s="3">
        <v>-0.46703683299999998</v>
      </c>
      <c r="AP137" s="3">
        <v>9.7003433E-2</v>
      </c>
      <c r="AQ137" s="3">
        <v>7.0833077999999994E-2</v>
      </c>
    </row>
    <row r="138" spans="1:43" x14ac:dyDescent="0.3">
      <c r="A138" s="1">
        <v>13277</v>
      </c>
      <c r="B138" s="3">
        <v>14</v>
      </c>
      <c r="C138" s="3">
        <v>51.1</v>
      </c>
      <c r="D138" s="3">
        <v>2.77</v>
      </c>
      <c r="E138" s="3">
        <v>26.68</v>
      </c>
      <c r="F138" s="3">
        <f>(B138-B$161)/B$162</f>
        <v>0.53755632195604275</v>
      </c>
      <c r="G138" s="3">
        <f>(C138-C$161)/C$162</f>
        <v>-0.70629523131885341</v>
      </c>
      <c r="H138" s="3">
        <f>(D138-D$161)/D$162</f>
        <v>1.3298175067099265</v>
      </c>
      <c r="I138" s="3">
        <f>(E138-E$161)/E$162</f>
        <v>-4.1153082407517048E-2</v>
      </c>
      <c r="J138" s="2">
        <v>831682.3</v>
      </c>
      <c r="K138" s="1">
        <v>3487715</v>
      </c>
      <c r="L138" s="3">
        <f>O138+P138*$G138+Q138*$H138+R138*$I138</f>
        <v>0.16361157976021537</v>
      </c>
      <c r="M138" s="3">
        <f>L138*$B$162+$B$161</f>
        <v>11.876334532315934</v>
      </c>
      <c r="N138" s="1">
        <v>0</v>
      </c>
      <c r="O138" s="3">
        <v>-0.29754170299999999</v>
      </c>
      <c r="P138" s="3">
        <v>-0.36655891800000001</v>
      </c>
      <c r="Q138" s="3">
        <v>0.15384221300000001</v>
      </c>
      <c r="R138" s="3">
        <v>5.6559581999999997E-2</v>
      </c>
      <c r="S138" s="3">
        <f>V138+W138*$G138+X138*$H138+Y138*$I138</f>
        <v>0.24988574287004708</v>
      </c>
      <c r="T138" s="3">
        <f>S138*$B$162+$B$161</f>
        <v>12.366293182018634</v>
      </c>
      <c r="U138" s="1">
        <v>2</v>
      </c>
      <c r="V138" s="3">
        <v>-0.13655372900000001</v>
      </c>
      <c r="W138" s="3">
        <v>-0.53975352499999996</v>
      </c>
      <c r="X138" s="3">
        <v>6.0196410000000001E-3</v>
      </c>
      <c r="Y138" s="3">
        <v>6.7817348E-2</v>
      </c>
      <c r="Z138" s="3">
        <f>AC138+AD138*$G138+AE138*$H138+AF138*$I138</f>
        <v>0.17888647923938797</v>
      </c>
      <c r="AA138" s="3">
        <f>Z138*$B$162+$B$161</f>
        <v>11.963082045747413</v>
      </c>
      <c r="AB138" s="1">
        <v>1</v>
      </c>
      <c r="AC138" s="3">
        <v>-0.27574183299999999</v>
      </c>
      <c r="AD138" s="3">
        <v>-0.23985341199999999</v>
      </c>
      <c r="AE138" s="3">
        <v>0.21363271</v>
      </c>
      <c r="AF138" s="3">
        <v>-2.7421357E-2</v>
      </c>
      <c r="AG138" s="3">
        <v>-0.28230516100000003</v>
      </c>
      <c r="AH138" s="3">
        <v>-0.37100554200000002</v>
      </c>
      <c r="AI138" s="3">
        <v>0.16313482800000001</v>
      </c>
      <c r="AJ138" s="3">
        <v>9.6042301999999996E-2</v>
      </c>
      <c r="AK138" s="3">
        <f>AN138+AO138*$G138+AP138*$H138+AQ138*$I138</f>
        <v>0.19619928491641103</v>
      </c>
      <c r="AL138" s="3">
        <f>AK138*$B$162+$B$161</f>
        <v>12.061403009826552</v>
      </c>
      <c r="AM138" s="1">
        <v>0</v>
      </c>
      <c r="AN138" s="3">
        <v>-0.25974846699999998</v>
      </c>
      <c r="AO138" s="3">
        <v>-0.46703683299999998</v>
      </c>
      <c r="AP138" s="3">
        <v>9.7003433E-2</v>
      </c>
      <c r="AQ138" s="3">
        <v>7.0833077999999994E-2</v>
      </c>
    </row>
    <row r="139" spans="1:43" x14ac:dyDescent="0.3">
      <c r="A139" s="1">
        <v>13279</v>
      </c>
      <c r="B139" s="3">
        <v>11.4</v>
      </c>
      <c r="C139" s="3">
        <v>35.700000000000003</v>
      </c>
      <c r="D139" s="3">
        <v>0.9</v>
      </c>
      <c r="E139" s="3">
        <v>23.3799999999999</v>
      </c>
      <c r="F139" s="3">
        <f>(B139-B$161)/B$162</f>
        <v>7.9736413639959813E-2</v>
      </c>
      <c r="G139" s="3">
        <f>(C139-C$161)/C$162</f>
        <v>-1.2763695641162127</v>
      </c>
      <c r="H139" s="3">
        <f>(D139-D$161)/D$162</f>
        <v>-0.18754621755925135</v>
      </c>
      <c r="I139" s="3">
        <f>(E139-E$161)/E$162</f>
        <v>-0.23160133023980808</v>
      </c>
      <c r="J139" s="2">
        <v>941734.40000000002</v>
      </c>
      <c r="K139" s="1">
        <v>3567586</v>
      </c>
      <c r="L139" s="3">
        <f>O139+P139*$G139+Q139*$H139+R139*$I139</f>
        <v>0.12837114381246839</v>
      </c>
      <c r="M139" s="3">
        <f>L139*$B$162+$B$161</f>
        <v>11.676200960577756</v>
      </c>
      <c r="N139" s="1">
        <v>0</v>
      </c>
      <c r="O139" s="3">
        <v>-0.29754170299999999</v>
      </c>
      <c r="P139" s="3">
        <v>-0.36655891800000001</v>
      </c>
      <c r="Q139" s="3">
        <v>0.15384221300000001</v>
      </c>
      <c r="R139" s="3">
        <v>5.6559581999999997E-2</v>
      </c>
      <c r="S139" s="3">
        <f>V139+W139*$G139+X139*$H139+Y139*$I139</f>
        <v>0.53553569352368879</v>
      </c>
      <c r="T139" s="3">
        <f>S139*$B$162+$B$161</f>
        <v>13.988524671320118</v>
      </c>
      <c r="U139" s="1">
        <v>2</v>
      </c>
      <c r="V139" s="3">
        <v>-0.13655372900000001</v>
      </c>
      <c r="W139" s="3">
        <v>-0.53975352499999996</v>
      </c>
      <c r="X139" s="3">
        <v>6.0196410000000001E-3</v>
      </c>
      <c r="Y139" s="3">
        <v>6.7817348E-2</v>
      </c>
      <c r="Z139" s="3">
        <f>AC139+AD139*$G139+AE139*$H139+AF139*$I139</f>
        <v>-3.3154220230253821E-3</v>
      </c>
      <c r="AA139" s="3">
        <f>Z139*$B$162+$B$161</f>
        <v>10.928341234617788</v>
      </c>
      <c r="AB139" s="1">
        <v>1</v>
      </c>
      <c r="AC139" s="3">
        <v>-0.27574183299999999</v>
      </c>
      <c r="AD139" s="3">
        <v>-0.23985341199999999</v>
      </c>
      <c r="AE139" s="3">
        <v>0.21363271</v>
      </c>
      <c r="AF139" s="3">
        <v>-2.7421357E-2</v>
      </c>
      <c r="AG139" s="3">
        <v>-0.17386626099999999</v>
      </c>
      <c r="AH139" s="3">
        <v>-0.40617252599999998</v>
      </c>
      <c r="AI139" s="3">
        <v>0.29920959800000002</v>
      </c>
      <c r="AJ139" s="3">
        <v>1.0112413000000001E-2</v>
      </c>
      <c r="AK139" s="3">
        <f>AN139+AO139*$G139+AP139*$H139+AQ139*$I139</f>
        <v>0.12336238822069925</v>
      </c>
      <c r="AL139" s="3">
        <f>AK139*$B$162+$B$161</f>
        <v>11.647755791850823</v>
      </c>
      <c r="AM139" s="1">
        <v>2</v>
      </c>
      <c r="AN139" s="3">
        <v>7.5780177000000004E-2</v>
      </c>
      <c r="AO139" s="3">
        <v>-0.16857382100000001</v>
      </c>
      <c r="AP139" s="3">
        <v>0.83152748499999996</v>
      </c>
      <c r="AQ139" s="3">
        <v>5.0217537999999999E-2</v>
      </c>
    </row>
    <row r="140" spans="1:43" x14ac:dyDescent="0.3">
      <c r="A140" s="1">
        <v>13281</v>
      </c>
      <c r="B140" s="3">
        <v>11.4</v>
      </c>
      <c r="C140" s="3">
        <v>100</v>
      </c>
      <c r="D140" s="3">
        <v>1.36</v>
      </c>
      <c r="E140" s="3">
        <v>0</v>
      </c>
      <c r="F140" s="3">
        <f>(B140-B$161)/B$162</f>
        <v>7.9736413639959813E-2</v>
      </c>
      <c r="G140" s="3">
        <f>(C140-C$161)/C$162</f>
        <v>1.1038758643818527</v>
      </c>
      <c r="H140" s="3">
        <f>(D140-D$161)/D$162</f>
        <v>0.18570903012193682</v>
      </c>
      <c r="I140" s="3">
        <f>(E140-E$161)/E$162</f>
        <v>-1.5808983103364174</v>
      </c>
      <c r="J140" s="2">
        <v>797981.69999999902</v>
      </c>
      <c r="K140" s="1">
        <v>3872640</v>
      </c>
      <c r="L140" s="3">
        <f>O140+P140*$G140+Q140*$H140+R140*$I140</f>
        <v>-5.9651219780824272E-2</v>
      </c>
      <c r="M140" s="3">
        <f>L140*$B$162+$B$161</f>
        <v>10.608405225917286</v>
      </c>
      <c r="N140" s="1">
        <v>1</v>
      </c>
      <c r="O140" s="3">
        <v>0.152735132</v>
      </c>
      <c r="P140" s="3">
        <v>-0.40878743200000001</v>
      </c>
      <c r="Q140" s="3">
        <v>0.37351620499999999</v>
      </c>
      <c r="R140" s="3">
        <v>-0.107216824</v>
      </c>
      <c r="S140" s="3">
        <f>V140+W140*$G140+X140*$H140+Y140*$I140</f>
        <v>-0.12330909502523599</v>
      </c>
      <c r="T140" s="3">
        <f>S140*$B$162+$B$161</f>
        <v>10.24688648759016</v>
      </c>
      <c r="U140" s="1">
        <v>1</v>
      </c>
      <c r="V140" s="3">
        <v>-0.18342203200000001</v>
      </c>
      <c r="W140" s="3">
        <v>-0.17380490200000001</v>
      </c>
      <c r="X140" s="3">
        <v>0.64175570999999998</v>
      </c>
      <c r="Y140" s="3">
        <v>-8.3997902999999999E-2</v>
      </c>
      <c r="Z140" s="3">
        <f>AC140+AD140*$G140+AE140*$H140+AF140*$I140</f>
        <v>-0.45748632517158405</v>
      </c>
      <c r="AA140" s="3">
        <f>Z140*$B$162+$B$161</f>
        <v>8.3490642596833844</v>
      </c>
      <c r="AB140" s="1">
        <v>1</v>
      </c>
      <c r="AC140" s="3">
        <v>-0.27574183299999999</v>
      </c>
      <c r="AD140" s="3">
        <v>-0.23985341199999999</v>
      </c>
      <c r="AE140" s="3">
        <v>0.21363271</v>
      </c>
      <c r="AF140" s="3">
        <v>-2.7421357E-2</v>
      </c>
      <c r="AG140" s="3">
        <v>0.14653201800000001</v>
      </c>
      <c r="AH140" s="3">
        <v>-0.28918770900000002</v>
      </c>
      <c r="AI140" s="3">
        <v>0.72908939399999995</v>
      </c>
      <c r="AJ140" s="3">
        <v>-6.1132221E-2</v>
      </c>
      <c r="AK140" s="3">
        <f>AN140+AO140*$G140+AP140*$H140+AQ140*$I140</f>
        <v>-8.9251679174447152E-2</v>
      </c>
      <c r="AL140" s="3">
        <f>AK140*$B$162+$B$161</f>
        <v>10.440301582922615</v>
      </c>
      <c r="AM140" s="1">
        <v>4</v>
      </c>
      <c r="AN140" s="3">
        <v>0.61558443699999998</v>
      </c>
      <c r="AO140" s="3">
        <v>-0.957700683</v>
      </c>
      <c r="AP140" s="3">
        <v>0.17952755200000001</v>
      </c>
      <c r="AQ140" s="3">
        <v>-0.20178822599999999</v>
      </c>
    </row>
    <row r="141" spans="1:43" x14ac:dyDescent="0.3">
      <c r="A141" s="1">
        <v>13283</v>
      </c>
      <c r="B141" s="3">
        <v>6.3</v>
      </c>
      <c r="C141" s="3">
        <v>53.299999999999898</v>
      </c>
      <c r="D141" s="3">
        <v>0.13</v>
      </c>
      <c r="E141" s="3">
        <v>33.1</v>
      </c>
      <c r="F141" s="3">
        <f>(B141-B$161)/B$162</f>
        <v>-0.81829494498004918</v>
      </c>
      <c r="G141" s="3">
        <f>(C141-C$161)/C$162</f>
        <v>-0.62485604091923452</v>
      </c>
      <c r="H141" s="3">
        <f>(D141-D$161)/D$162</f>
        <v>-0.81234304519950118</v>
      </c>
      <c r="I141" s="3">
        <f>(E141-E$161)/E$162</f>
        <v>0.32935532701165621</v>
      </c>
      <c r="J141" s="2">
        <v>919077.59999999905</v>
      </c>
      <c r="K141" s="1">
        <v>3595170</v>
      </c>
      <c r="L141" s="3">
        <f>O141+P141*$G141+Q141*$H141+R141*$I141</f>
        <v>-0.17483960089827938</v>
      </c>
      <c r="M141" s="3">
        <f>L141*$B$162+$B$161</f>
        <v>9.9542401591185463</v>
      </c>
      <c r="N141" s="1">
        <v>0</v>
      </c>
      <c r="O141" s="3">
        <v>-0.29754170299999999</v>
      </c>
      <c r="P141" s="3">
        <v>-0.36655891800000001</v>
      </c>
      <c r="Q141" s="3">
        <v>0.15384221300000001</v>
      </c>
      <c r="R141" s="3">
        <v>5.6559581999999997E-2</v>
      </c>
      <c r="S141" s="3">
        <f>V141+W141*$G141+X141*$H141+Y141*$I141</f>
        <v>-0.41087731257540061</v>
      </c>
      <c r="T141" s="3">
        <f>S141*$B$162+$B$161</f>
        <v>8.613760989879772</v>
      </c>
      <c r="U141" s="1">
        <v>3</v>
      </c>
      <c r="V141" s="3">
        <v>0.57876851500000004</v>
      </c>
      <c r="W141" s="3">
        <v>-0.118666143</v>
      </c>
      <c r="X141" s="3">
        <v>1.1943427209999999</v>
      </c>
      <c r="Y141" s="3">
        <v>-0.28412803199999997</v>
      </c>
      <c r="Z141" s="3">
        <f>AC141+AD141*$G141+AE141*$H141+AF141*$I141</f>
        <v>-0.30844239577417026</v>
      </c>
      <c r="AA141" s="3">
        <f>Z141*$B$162+$B$161</f>
        <v>9.1954979979159575</v>
      </c>
      <c r="AB141" s="1">
        <v>1</v>
      </c>
      <c r="AC141" s="3">
        <v>-0.27574183299999999</v>
      </c>
      <c r="AD141" s="3">
        <v>-0.23985341199999999</v>
      </c>
      <c r="AE141" s="3">
        <v>0.21363271</v>
      </c>
      <c r="AF141" s="3">
        <v>-2.7421357E-2</v>
      </c>
      <c r="AG141" s="3">
        <v>-0.113361212</v>
      </c>
      <c r="AH141" s="3">
        <v>-0.36231522300000002</v>
      </c>
      <c r="AI141" s="3">
        <v>0.39026460499999999</v>
      </c>
      <c r="AJ141" s="3">
        <v>-2.4345294E-2</v>
      </c>
      <c r="AK141" s="3">
        <f>AN141+AO141*$G141+AP141*$H141+AQ141*$I141</f>
        <v>-0.47783160828958443</v>
      </c>
      <c r="AL141" s="3">
        <f>AK141*$B$162+$B$161</f>
        <v>8.2335215863615421</v>
      </c>
      <c r="AM141" s="1">
        <v>2</v>
      </c>
      <c r="AN141" s="3">
        <v>7.5780177000000004E-2</v>
      </c>
      <c r="AO141" s="3">
        <v>-0.16857382100000001</v>
      </c>
      <c r="AP141" s="3">
        <v>0.83152748499999996</v>
      </c>
      <c r="AQ141" s="3">
        <v>5.0217537999999999E-2</v>
      </c>
    </row>
    <row r="142" spans="1:43" x14ac:dyDescent="0.3">
      <c r="A142" s="1">
        <v>13285</v>
      </c>
      <c r="B142" s="3">
        <v>13.6</v>
      </c>
      <c r="C142" s="3">
        <v>44</v>
      </c>
      <c r="D142" s="3">
        <v>0.99</v>
      </c>
      <c r="E142" s="3">
        <v>30.03</v>
      </c>
      <c r="F142" s="3">
        <f>(B142-B$161)/B$162</f>
        <v>0.46712248990741451</v>
      </c>
      <c r="G142" s="3">
        <f>(C142-C$161)/C$162</f>
        <v>-0.96912170942672693</v>
      </c>
      <c r="H142" s="3">
        <f>(D142-D$161)/D$162</f>
        <v>-0.11451801692597544</v>
      </c>
      <c r="I142" s="3">
        <f>(E142-E$161)/E$162</f>
        <v>0.15218074493737868</v>
      </c>
      <c r="J142" s="2">
        <v>682616.8</v>
      </c>
      <c r="K142" s="1">
        <v>3660254</v>
      </c>
      <c r="L142" s="3">
        <f>O142+P142*$G142+Q142*$H142+R142*$I142</f>
        <v>4.8688076387614687E-2</v>
      </c>
      <c r="M142" s="3">
        <f>L142*$B$162+$B$161</f>
        <v>11.223673729801275</v>
      </c>
      <c r="N142" s="1">
        <v>0</v>
      </c>
      <c r="O142" s="3">
        <v>-0.29754170299999999</v>
      </c>
      <c r="P142" s="3">
        <v>-0.36655891800000001</v>
      </c>
      <c r="Q142" s="3">
        <v>0.15384221300000001</v>
      </c>
      <c r="R142" s="3">
        <v>5.6559581999999997E-2</v>
      </c>
      <c r="S142" s="3">
        <f>V142+W142*$G142+X142*$H142+Y142*$I142</f>
        <v>0.5137578748489916</v>
      </c>
      <c r="T142" s="3">
        <f>S142*$B$162+$B$161</f>
        <v>13.86484650109271</v>
      </c>
      <c r="U142" s="1">
        <v>3</v>
      </c>
      <c r="V142" s="3">
        <v>0.57876851500000004</v>
      </c>
      <c r="W142" s="3">
        <v>-0.118666143</v>
      </c>
      <c r="X142" s="3">
        <v>1.1943427209999999</v>
      </c>
      <c r="Y142" s="3">
        <v>-0.28412803199999997</v>
      </c>
      <c r="Z142" s="3">
        <f>AC142+AD142*$G142+AE142*$H142+AF142*$I142</f>
        <v>-7.1932481185902786E-2</v>
      </c>
      <c r="AA142" s="3">
        <f>Z142*$B$162+$B$161</f>
        <v>10.538658849507724</v>
      </c>
      <c r="AB142" s="1">
        <v>1</v>
      </c>
      <c r="AC142" s="3">
        <v>-0.27574183299999999</v>
      </c>
      <c r="AD142" s="3">
        <v>-0.23985341199999999</v>
      </c>
      <c r="AE142" s="3">
        <v>0.21363271</v>
      </c>
      <c r="AF142" s="3">
        <v>-2.7421357E-2</v>
      </c>
      <c r="AG142" s="3">
        <v>0.117669808</v>
      </c>
      <c r="AH142" s="3">
        <v>-0.26878782899999998</v>
      </c>
      <c r="AI142" s="3">
        <v>0.59639480099999997</v>
      </c>
      <c r="AJ142" s="3">
        <v>-8.5135717E-2</v>
      </c>
      <c r="AK142" s="3">
        <f>AN142+AO142*$G142+AP142*$H142+AQ142*$I142</f>
        <v>0.15156599031223242</v>
      </c>
      <c r="AL142" s="3">
        <f>AK142*$B$162+$B$161</f>
        <v>11.807926557922794</v>
      </c>
      <c r="AM142" s="1">
        <v>2</v>
      </c>
      <c r="AN142" s="3">
        <v>7.5780177000000004E-2</v>
      </c>
      <c r="AO142" s="3">
        <v>-0.16857382100000001</v>
      </c>
      <c r="AP142" s="3">
        <v>0.83152748499999996</v>
      </c>
      <c r="AQ142" s="3">
        <v>5.0217537999999999E-2</v>
      </c>
    </row>
    <row r="143" spans="1:43" x14ac:dyDescent="0.3">
      <c r="A143" s="1">
        <v>13287</v>
      </c>
      <c r="B143" s="3">
        <v>7.2</v>
      </c>
      <c r="C143" s="3">
        <v>44.5</v>
      </c>
      <c r="D143" s="3">
        <v>0.35</v>
      </c>
      <c r="E143" s="3">
        <v>40.659999999999897</v>
      </c>
      <c r="F143" s="3">
        <f>(B143-B$161)/B$162</f>
        <v>-0.65981882287063576</v>
      </c>
      <c r="G143" s="3">
        <f>(C143-C$161)/C$162</f>
        <v>-0.95061280251772173</v>
      </c>
      <c r="H143" s="3">
        <f>(D143-D$161)/D$162</f>
        <v>-0.63382966587371548</v>
      </c>
      <c r="I143" s="3">
        <f>(E143-E$161)/E$162</f>
        <v>0.76565494931834011</v>
      </c>
      <c r="J143" s="2">
        <v>819399.59999999905</v>
      </c>
      <c r="K143" s="1">
        <v>3514927</v>
      </c>
      <c r="L143" s="3">
        <f>O143+P143*$G143+Q143*$H143+R143*$I143</f>
        <v>-3.2907372455426714E-3</v>
      </c>
      <c r="M143" s="3">
        <f>L143*$B$162+$B$161</f>
        <v>10.928481421665772</v>
      </c>
      <c r="N143" s="1">
        <v>0</v>
      </c>
      <c r="O143" s="3">
        <v>-0.29754170299999999</v>
      </c>
      <c r="P143" s="3">
        <v>-0.36655891800000001</v>
      </c>
      <c r="Q143" s="3">
        <v>0.15384221300000001</v>
      </c>
      <c r="R143" s="3">
        <v>5.6559581999999997E-2</v>
      </c>
      <c r="S143" s="3">
        <f>V143+W143*$G143+X143*$H143+Y143*$I143</f>
        <v>-0.22356290975499185</v>
      </c>
      <c r="T143" s="3">
        <f>S143*$B$162+$B$161</f>
        <v>9.6775361523107186</v>
      </c>
      <c r="U143" s="1">
        <v>0</v>
      </c>
      <c r="V143" s="3">
        <v>-0.54906074100000002</v>
      </c>
      <c r="W143" s="3">
        <v>-0.34651111899999998</v>
      </c>
      <c r="X143" s="3">
        <v>0.18161730300000001</v>
      </c>
      <c r="Y143" s="3">
        <v>0.14525389</v>
      </c>
      <c r="Z143" s="3">
        <f>AC143+AD143*$G143+AE143*$H143+AF143*$I143</f>
        <v>-0.20413615572831373</v>
      </c>
      <c r="AA143" s="3">
        <f>Z143*$B$162+$B$161</f>
        <v>9.7878624171844848</v>
      </c>
      <c r="AB143" s="1">
        <v>1</v>
      </c>
      <c r="AC143" s="3">
        <v>-0.27574183299999999</v>
      </c>
      <c r="AD143" s="3">
        <v>-0.23985341199999999</v>
      </c>
      <c r="AE143" s="3">
        <v>0.21363271</v>
      </c>
      <c r="AF143" s="3">
        <v>-2.7421357E-2</v>
      </c>
      <c r="AG143" s="3">
        <v>-0.257440477</v>
      </c>
      <c r="AH143" s="3">
        <v>-0.35479657399999998</v>
      </c>
      <c r="AI143" s="3">
        <v>0.19145098299999999</v>
      </c>
      <c r="AJ143" s="3">
        <v>8.1251914999999994E-2</v>
      </c>
      <c r="AK143" s="3">
        <f>AN143+AO143*$G143+AP143*$H143+AQ143*$I143</f>
        <v>0.17697276891628985</v>
      </c>
      <c r="AL143" s="3">
        <f>AK143*$B$162+$B$161</f>
        <v>11.952213914524471</v>
      </c>
      <c r="AM143" s="1">
        <v>0</v>
      </c>
      <c r="AN143" s="3">
        <v>-0.25974846699999998</v>
      </c>
      <c r="AO143" s="3">
        <v>-0.46703683299999998</v>
      </c>
      <c r="AP143" s="3">
        <v>9.7003433E-2</v>
      </c>
      <c r="AQ143" s="3">
        <v>7.0833077999999994E-2</v>
      </c>
    </row>
    <row r="144" spans="1:43" x14ac:dyDescent="0.3">
      <c r="A144" s="1">
        <v>13289</v>
      </c>
      <c r="B144" s="3">
        <v>4.8</v>
      </c>
      <c r="C144" s="3">
        <v>100</v>
      </c>
      <c r="D144" s="3">
        <v>0.22</v>
      </c>
      <c r="E144" s="3">
        <v>45.93</v>
      </c>
      <c r="F144" s="3">
        <f>(B144-B$161)/B$162</f>
        <v>-1.0824218151624048</v>
      </c>
      <c r="G144" s="3">
        <f>(C144-C$161)/C$162</f>
        <v>1.1038758643818527</v>
      </c>
      <c r="H144" s="3">
        <f>(D144-D$161)/D$162</f>
        <v>-0.73931484456622509</v>
      </c>
      <c r="I144" s="3">
        <f>(E144-E$161)/E$162</f>
        <v>1.0697950299474803</v>
      </c>
      <c r="J144" s="2">
        <v>832935</v>
      </c>
      <c r="K144" s="1">
        <v>3623868</v>
      </c>
      <c r="L144" s="3">
        <f>O144+P144*$G144+Q144*$H144+R144*$I144</f>
        <v>-0.75540791752643877</v>
      </c>
      <c r="M144" s="3">
        <f>L144*$B$162+$B$161</f>
        <v>6.6571410251266325</v>
      </c>
      <c r="N144" s="1">
        <v>0</v>
      </c>
      <c r="O144" s="3">
        <v>-0.29754170299999999</v>
      </c>
      <c r="P144" s="3">
        <v>-0.36655891800000001</v>
      </c>
      <c r="Q144" s="3">
        <v>0.15384221300000001</v>
      </c>
      <c r="R144" s="3">
        <v>5.6559581999999997E-2</v>
      </c>
      <c r="S144" s="3">
        <f>V144+W144*$G144+X144*$H144+Y144*$I144</f>
        <v>-0.73917823581426134</v>
      </c>
      <c r="T144" s="3">
        <f>S144*$B$162+$B$161</f>
        <v>6.7493108318239159</v>
      </c>
      <c r="U144" s="1">
        <v>3</v>
      </c>
      <c r="V144" s="3">
        <v>0.57876851500000004</v>
      </c>
      <c r="W144" s="3">
        <v>-0.118666143</v>
      </c>
      <c r="X144" s="3">
        <v>1.1943427209999999</v>
      </c>
      <c r="Y144" s="3">
        <v>-0.28412803199999997</v>
      </c>
      <c r="Z144" s="3">
        <f>AC144+AD144*$G144+AE144*$H144+AF144*$I144</f>
        <v>-0.78891421006618545</v>
      </c>
      <c r="AA144" s="3">
        <f>Z144*$B$162+$B$161</f>
        <v>6.4668558081211822</v>
      </c>
      <c r="AB144" s="1">
        <v>0</v>
      </c>
      <c r="AC144" s="3">
        <v>0.54283203499999999</v>
      </c>
      <c r="AD144" s="3">
        <v>-0.49819849599999999</v>
      </c>
      <c r="AE144" s="3">
        <v>0.48327922000000001</v>
      </c>
      <c r="AF144" s="3">
        <v>-0.39680633799999998</v>
      </c>
      <c r="AG144" s="3">
        <v>9.8651948000000003E-2</v>
      </c>
      <c r="AH144" s="3">
        <v>-0.27053748100000002</v>
      </c>
      <c r="AI144" s="3">
        <v>0.58240785699999997</v>
      </c>
      <c r="AJ144" s="3">
        <v>-0.127680021</v>
      </c>
      <c r="AK144" s="3">
        <f>AN144+AO144*$G144+AP144*$H144+AQ144*$I144</f>
        <v>-0.77123835791654105</v>
      </c>
      <c r="AL144" s="3">
        <f>AK144*$B$162+$B$161</f>
        <v>6.5672385454252709</v>
      </c>
      <c r="AM144" s="1">
        <v>0</v>
      </c>
      <c r="AN144" s="3">
        <v>-0.25974846699999998</v>
      </c>
      <c r="AO144" s="3">
        <v>-0.46703683299999998</v>
      </c>
      <c r="AP144" s="3">
        <v>9.7003433E-2</v>
      </c>
      <c r="AQ144" s="3">
        <v>7.0833077999999994E-2</v>
      </c>
    </row>
    <row r="145" spans="1:43" x14ac:dyDescent="0.3">
      <c r="A145" s="1">
        <v>13291</v>
      </c>
      <c r="B145" s="3">
        <v>10.1</v>
      </c>
      <c r="C145" s="3">
        <v>100</v>
      </c>
      <c r="D145" s="3">
        <v>0.88</v>
      </c>
      <c r="E145" s="3">
        <v>0.1</v>
      </c>
      <c r="F145" s="3">
        <f>(B145-B$161)/B$162</f>
        <v>-0.14917354051808179</v>
      </c>
      <c r="G145" s="3">
        <f>(C145-C$161)/C$162</f>
        <v>1.1038758643818527</v>
      </c>
      <c r="H145" s="3">
        <f>(D145-D$161)/D$162</f>
        <v>-0.20377470658886823</v>
      </c>
      <c r="I145" s="3">
        <f>(E145-E$161)/E$162</f>
        <v>-1.5751271513111964</v>
      </c>
      <c r="J145" s="2">
        <v>777040.09999999905</v>
      </c>
      <c r="K145" s="1">
        <v>3858779</v>
      </c>
      <c r="L145" s="3">
        <f>O145+P145*$G145+Q145*$H145+R145*$I145</f>
        <v>-0.20574847236774646</v>
      </c>
      <c r="M145" s="3">
        <f>L145*$B$162+$B$161</f>
        <v>9.7787059275116253</v>
      </c>
      <c r="N145" s="1">
        <v>1</v>
      </c>
      <c r="O145" s="3">
        <v>0.152735132</v>
      </c>
      <c r="P145" s="3">
        <v>-0.40878743200000001</v>
      </c>
      <c r="Q145" s="3">
        <v>0.37351620499999999</v>
      </c>
      <c r="R145" s="3">
        <v>-0.107216824</v>
      </c>
      <c r="S145" s="3">
        <f>V145+W145*$G145+X145*$H145+Y145*$I145</f>
        <v>-0.37374727226752991</v>
      </c>
      <c r="T145" s="3">
        <f>S145*$B$162+$B$161</f>
        <v>8.8246257929320073</v>
      </c>
      <c r="U145" s="1">
        <v>1</v>
      </c>
      <c r="V145" s="3">
        <v>-0.18342203200000001</v>
      </c>
      <c r="W145" s="3">
        <v>-0.17380490200000001</v>
      </c>
      <c r="X145" s="3">
        <v>0.64175570999999998</v>
      </c>
      <c r="Y145" s="3">
        <v>-8.3997902999999999E-2</v>
      </c>
      <c r="Z145" s="3">
        <f>AC145+AD145*$G145+AE145*$H145+AF145*$I145</f>
        <v>-0.54085104435797415</v>
      </c>
      <c r="AA145" s="3">
        <f>Z145*$B$162+$B$161</f>
        <v>7.8756286009287422</v>
      </c>
      <c r="AB145" s="1">
        <v>1</v>
      </c>
      <c r="AC145" s="3">
        <v>-0.27574183299999999</v>
      </c>
      <c r="AD145" s="3">
        <v>-0.23985341199999999</v>
      </c>
      <c r="AE145" s="3">
        <v>0.21363271</v>
      </c>
      <c r="AF145" s="3">
        <v>-2.7421357E-2</v>
      </c>
      <c r="AG145" s="3">
        <v>0.14306254800000001</v>
      </c>
      <c r="AH145" s="3">
        <v>-0.28472150899999998</v>
      </c>
      <c r="AI145" s="3">
        <v>0.72913303900000004</v>
      </c>
      <c r="AJ145" s="3">
        <v>-5.7441388000000003E-2</v>
      </c>
      <c r="AK145" s="3">
        <f>AN145+AO145*$G145+AP145*$H145+AQ145*$I145</f>
        <v>-0.1603392929116137</v>
      </c>
      <c r="AL145" s="3">
        <f>AK145*$B$162+$B$161</f>
        <v>10.036588698534404</v>
      </c>
      <c r="AM145" s="1">
        <v>4</v>
      </c>
      <c r="AN145" s="3">
        <v>0.61558443699999998</v>
      </c>
      <c r="AO145" s="3">
        <v>-0.957700683</v>
      </c>
      <c r="AP145" s="3">
        <v>0.17952755200000001</v>
      </c>
      <c r="AQ145" s="3">
        <v>-0.20178822599999999</v>
      </c>
    </row>
    <row r="146" spans="1:43" x14ac:dyDescent="0.3">
      <c r="A146" s="1">
        <v>13293</v>
      </c>
      <c r="B146" s="3">
        <v>9</v>
      </c>
      <c r="C146" s="3">
        <v>65.299999999999898</v>
      </c>
      <c r="D146" s="3">
        <v>0.56999999999999995</v>
      </c>
      <c r="E146" s="3">
        <v>27.78</v>
      </c>
      <c r="F146" s="3">
        <f>(B146-B$161)/B$162</f>
        <v>-0.34286657865180914</v>
      </c>
      <c r="G146" s="3">
        <f>(C146-C$161)/C$162</f>
        <v>-0.18064227510311029</v>
      </c>
      <c r="H146" s="3">
        <f>(D146-D$161)/D$162</f>
        <v>-0.45531628654792983</v>
      </c>
      <c r="I146" s="3">
        <f>(E146-E$161)/E$162</f>
        <v>2.2329666869911453E-2</v>
      </c>
      <c r="J146" s="2">
        <v>752165.19999999902</v>
      </c>
      <c r="K146" s="1">
        <v>3639192</v>
      </c>
      <c r="L146" s="3">
        <f>O146+P146*$G146+Q146*$H146+R146*$I146</f>
        <v>-0.30010957460625975</v>
      </c>
      <c r="M146" s="3">
        <f>L146*$B$162+$B$161</f>
        <v>9.2428208308531588</v>
      </c>
      <c r="N146" s="1">
        <v>0</v>
      </c>
      <c r="O146" s="3">
        <v>-0.29754170299999999</v>
      </c>
      <c r="P146" s="3">
        <v>-0.36655891800000001</v>
      </c>
      <c r="Q146" s="3">
        <v>0.15384221300000001</v>
      </c>
      <c r="R146" s="3">
        <v>5.6559581999999997E-2</v>
      </c>
      <c r="S146" s="3">
        <f>V146+W146*$G146+X146*$H146+Y146*$I146</f>
        <v>-0.56591602911486683</v>
      </c>
      <c r="T146" s="3">
        <f>S146*$B$162+$B$161</f>
        <v>7.7332823220008109</v>
      </c>
      <c r="U146" s="1">
        <v>0</v>
      </c>
      <c r="V146" s="3">
        <v>-0.54906074100000002</v>
      </c>
      <c r="W146" s="3">
        <v>-0.34651111899999998</v>
      </c>
      <c r="X146" s="3">
        <v>0.18161730300000001</v>
      </c>
      <c r="Y146" s="3">
        <v>0.14525389</v>
      </c>
      <c r="Z146" s="3">
        <f>AC146+AD146*$G146+AE146*$H146+AF146*$I146</f>
        <v>-0.33029692893437806</v>
      </c>
      <c r="AA146" s="3">
        <f>Z146*$B$162+$B$161</f>
        <v>9.0713841592986331</v>
      </c>
      <c r="AB146" s="1">
        <v>1</v>
      </c>
      <c r="AC146" s="3">
        <v>-0.27574183299999999</v>
      </c>
      <c r="AD146" s="3">
        <v>-0.23985341199999999</v>
      </c>
      <c r="AE146" s="3">
        <v>0.21363271</v>
      </c>
      <c r="AF146" s="3">
        <v>-2.7421357E-2</v>
      </c>
      <c r="AG146" s="3">
        <v>0.15264366700000001</v>
      </c>
      <c r="AH146" s="3">
        <v>-0.27787166200000002</v>
      </c>
      <c r="AI146" s="3">
        <v>0.560416625</v>
      </c>
      <c r="AJ146" s="3">
        <v>-0.140499085</v>
      </c>
      <c r="AK146" s="3">
        <f>AN146+AO146*$G146+AP146*$H146+AQ146*$I146</f>
        <v>-0.21796743479077907</v>
      </c>
      <c r="AL146" s="3">
        <f>AK146*$B$162+$B$161</f>
        <v>9.7093133525649922</v>
      </c>
      <c r="AM146" s="1">
        <v>0</v>
      </c>
      <c r="AN146" s="3">
        <v>-0.25974846699999998</v>
      </c>
      <c r="AO146" s="3">
        <v>-0.46703683299999998</v>
      </c>
      <c r="AP146" s="3">
        <v>9.7003433E-2</v>
      </c>
      <c r="AQ146" s="3">
        <v>7.0833077999999994E-2</v>
      </c>
    </row>
    <row r="147" spans="1:43" x14ac:dyDescent="0.3">
      <c r="A147" s="1">
        <v>13295</v>
      </c>
      <c r="B147" s="3">
        <v>8.4</v>
      </c>
      <c r="C147" s="3">
        <v>44.799999999999898</v>
      </c>
      <c r="D147" s="3">
        <v>0.42</v>
      </c>
      <c r="E147" s="3">
        <v>3.73</v>
      </c>
      <c r="F147" s="3">
        <f>(B147-B$161)/B$162</f>
        <v>-0.44851732672475125</v>
      </c>
      <c r="G147" s="3">
        <f>(C147-C$161)/C$162</f>
        <v>-0.93950745837232241</v>
      </c>
      <c r="H147" s="3">
        <f>(D147-D$161)/D$162</f>
        <v>-0.57702995427005643</v>
      </c>
      <c r="I147" s="3">
        <f>(E147-E$161)/E$162</f>
        <v>-1.3656340786956827</v>
      </c>
      <c r="J147" s="2">
        <v>658870.4</v>
      </c>
      <c r="K147" s="1">
        <v>3842167</v>
      </c>
      <c r="L147" s="3">
        <f>O147+P147*$G147+Q147*$H147+R147*$I147</f>
        <v>-0.11916812339428864</v>
      </c>
      <c r="M147" s="3">
        <f>L147*$B$162+$B$161</f>
        <v>10.270403433980858</v>
      </c>
      <c r="N147" s="1">
        <v>0</v>
      </c>
      <c r="O147" s="3">
        <v>-0.29754170299999999</v>
      </c>
      <c r="P147" s="3">
        <v>-0.36655891800000001</v>
      </c>
      <c r="Q147" s="3">
        <v>0.15384221300000001</v>
      </c>
      <c r="R147" s="3">
        <v>5.6559581999999997E-2</v>
      </c>
      <c r="S147" s="3">
        <f>V147+W147*$G147+X147*$H147+Y147*$I147</f>
        <v>-0.2757328993874027</v>
      </c>
      <c r="T147" s="3">
        <f>S147*$B$162+$B$161</f>
        <v>9.3812581386630036</v>
      </c>
      <c r="U147" s="1">
        <v>1</v>
      </c>
      <c r="V147" s="3">
        <v>-0.18342203200000001</v>
      </c>
      <c r="W147" s="3">
        <v>-0.17380490200000001</v>
      </c>
      <c r="X147" s="3">
        <v>0.64175570999999998</v>
      </c>
      <c r="Y147" s="3">
        <v>-8.3997902999999999E-2</v>
      </c>
      <c r="Z147" s="3">
        <f>AC147+AD147*$G147+AE147*$H147+AF147*$I147</f>
        <v>-0.13622269678855833</v>
      </c>
      <c r="AA147" s="3">
        <f>Z147*$B$162+$B$161</f>
        <v>10.17354899401516</v>
      </c>
      <c r="AB147" s="1">
        <v>1</v>
      </c>
      <c r="AC147" s="3">
        <v>-0.27574183299999999</v>
      </c>
      <c r="AD147" s="3">
        <v>-0.23985341199999999</v>
      </c>
      <c r="AE147" s="3">
        <v>0.21363271</v>
      </c>
      <c r="AF147" s="3">
        <v>-2.7421357E-2</v>
      </c>
      <c r="AG147" s="3">
        <v>0.116028453</v>
      </c>
      <c r="AH147" s="3">
        <v>-0.261785567</v>
      </c>
      <c r="AI147" s="3">
        <v>0.72176754099999996</v>
      </c>
      <c r="AJ147" s="3">
        <v>-3.6253977E-2</v>
      </c>
      <c r="AK147" s="3">
        <f>AN147+AO147*$G147+AP147*$H147+AQ147*$I147</f>
        <v>-0.3142385087690196</v>
      </c>
      <c r="AL147" s="3">
        <f>AK147*$B$162+$B$161</f>
        <v>9.1625813564312359</v>
      </c>
      <c r="AM147" s="1">
        <v>2</v>
      </c>
      <c r="AN147" s="3">
        <v>7.5780177000000004E-2</v>
      </c>
      <c r="AO147" s="3">
        <v>-0.16857382100000001</v>
      </c>
      <c r="AP147" s="3">
        <v>0.83152748499999996</v>
      </c>
      <c r="AQ147" s="3">
        <v>5.0217537999999999E-2</v>
      </c>
    </row>
    <row r="148" spans="1:43" x14ac:dyDescent="0.3">
      <c r="A148" s="1">
        <v>13297</v>
      </c>
      <c r="B148" s="3">
        <v>9.4</v>
      </c>
      <c r="C148" s="3">
        <v>61.2</v>
      </c>
      <c r="D148" s="3">
        <v>0.65</v>
      </c>
      <c r="E148" s="3">
        <v>18.37</v>
      </c>
      <c r="F148" s="3">
        <f>(B148-B$161)/B$162</f>
        <v>-0.2724327466031809</v>
      </c>
      <c r="G148" s="3">
        <f>(C148-C$161)/C$162</f>
        <v>-0.33241531175694883</v>
      </c>
      <c r="H148" s="3">
        <f>(D148-D$161)/D$162</f>
        <v>-0.39040233042946226</v>
      </c>
      <c r="I148" s="3">
        <f>(E148-E$161)/E$162</f>
        <v>-0.52073639740336264</v>
      </c>
      <c r="J148" s="2">
        <v>800384.3</v>
      </c>
      <c r="K148" s="1">
        <v>3742691</v>
      </c>
      <c r="L148" s="3">
        <f>O148+P148*$G148+Q148*$H148+R148*$I148</f>
        <v>0.19863243943622416</v>
      </c>
      <c r="M148" s="3">
        <f>L148*$B$162+$B$161</f>
        <v>12.075221110867162</v>
      </c>
      <c r="N148" s="1">
        <v>1</v>
      </c>
      <c r="O148" s="3">
        <v>0.152735132</v>
      </c>
      <c r="P148" s="3">
        <v>-0.40878743200000001</v>
      </c>
      <c r="Q148" s="3">
        <v>0.37351620499999999</v>
      </c>
      <c r="R148" s="3">
        <v>-0.107216824</v>
      </c>
      <c r="S148" s="3">
        <f>V148+W148*$G148+X148*$H148+Y148*$I148</f>
        <v>-0.33244878066954114</v>
      </c>
      <c r="T148" s="3">
        <f>S148*$B$162+$B$161</f>
        <v>9.0591636018047428</v>
      </c>
      <c r="U148" s="1">
        <v>1</v>
      </c>
      <c r="V148" s="3">
        <v>-0.18342203200000001</v>
      </c>
      <c r="W148" s="3">
        <v>-0.17380490200000001</v>
      </c>
      <c r="X148" s="3">
        <v>0.64175570999999998</v>
      </c>
      <c r="Y148" s="3">
        <v>-8.3997902999999999E-2</v>
      </c>
      <c r="Z148" s="3">
        <f>AC148+AD148*$G148+AE148*$H148+AF148*$I148</f>
        <v>-0.26513429545792211</v>
      </c>
      <c r="AA148" s="3">
        <f>Z148*$B$162+$B$161</f>
        <v>9.4414485535316039</v>
      </c>
      <c r="AB148" s="1">
        <v>1</v>
      </c>
      <c r="AC148" s="3">
        <v>-0.27574183299999999</v>
      </c>
      <c r="AD148" s="3">
        <v>-0.23985341199999999</v>
      </c>
      <c r="AE148" s="3">
        <v>0.21363271</v>
      </c>
      <c r="AF148" s="3">
        <v>-2.7421357E-2</v>
      </c>
      <c r="AG148" s="3">
        <v>0.17458385200000001</v>
      </c>
      <c r="AH148" s="3">
        <v>-0.29449009300000001</v>
      </c>
      <c r="AI148" s="3">
        <v>0.71130352600000002</v>
      </c>
      <c r="AJ148" s="3">
        <v>-0.10622249</v>
      </c>
      <c r="AK148" s="3">
        <f>AN148+AO148*$G148+AP148*$H148+AQ148*$I148</f>
        <v>-0.21896367152296106</v>
      </c>
      <c r="AL148" s="3">
        <f>AK148*$B$162+$B$161</f>
        <v>9.7036556355093921</v>
      </c>
      <c r="AM148" s="1">
        <v>2</v>
      </c>
      <c r="AN148" s="3">
        <v>7.5780177000000004E-2</v>
      </c>
      <c r="AO148" s="3">
        <v>-0.16857382100000001</v>
      </c>
      <c r="AP148" s="3">
        <v>0.83152748499999996</v>
      </c>
      <c r="AQ148" s="3">
        <v>5.0217537999999999E-2</v>
      </c>
    </row>
    <row r="149" spans="1:43" x14ac:dyDescent="0.3">
      <c r="A149" s="1">
        <v>13299</v>
      </c>
      <c r="B149" s="3">
        <v>10.4</v>
      </c>
      <c r="C149" s="3">
        <v>54.2</v>
      </c>
      <c r="D149" s="3">
        <v>0.62</v>
      </c>
      <c r="E149" s="3">
        <v>25.8799999999999</v>
      </c>
      <c r="F149" s="3">
        <f>(B149-B$161)/B$162</f>
        <v>-9.6348166481610556E-2</v>
      </c>
      <c r="G149" s="3">
        <f>(C149-C$161)/C$162</f>
        <v>-0.59154000848302124</v>
      </c>
      <c r="H149" s="3">
        <f>(D149-D$161)/D$162</f>
        <v>-0.41474506397388761</v>
      </c>
      <c r="I149" s="3">
        <f>(E149-E$161)/E$162</f>
        <v>-8.7322354609288957E-2</v>
      </c>
      <c r="J149" s="2">
        <v>938349.59999999905</v>
      </c>
      <c r="K149" s="1">
        <v>3446675</v>
      </c>
      <c r="L149" s="3">
        <f>O149+P149*$G149+Q149*$H149+R149*$I149</f>
        <v>-0.14945165188527951</v>
      </c>
      <c r="M149" s="3">
        <f>L149*$B$162+$B$161</f>
        <v>10.098420580796992</v>
      </c>
      <c r="N149" s="1">
        <v>0</v>
      </c>
      <c r="O149" s="3">
        <v>-0.29754170299999999</v>
      </c>
      <c r="P149" s="3">
        <v>-0.36655891800000001</v>
      </c>
      <c r="Q149" s="3">
        <v>0.15384221300000001</v>
      </c>
      <c r="R149" s="3">
        <v>5.6559581999999997E-2</v>
      </c>
      <c r="S149" s="3">
        <f>V149+W149*$G149+X149*$H149+Y149*$I149</f>
        <v>0.17431348885487821</v>
      </c>
      <c r="T149" s="3">
        <f>S149*$B$162+$B$161</f>
        <v>11.937111626410568</v>
      </c>
      <c r="U149" s="1">
        <v>2</v>
      </c>
      <c r="V149" s="3">
        <v>-0.13655372900000001</v>
      </c>
      <c r="W149" s="3">
        <v>-0.53975352499999996</v>
      </c>
      <c r="X149" s="3">
        <v>6.0196410000000001E-3</v>
      </c>
      <c r="Y149" s="3">
        <v>6.7817348E-2</v>
      </c>
      <c r="Z149" s="3">
        <f>AC149+AD149*$G149+AE149*$H149+AF149*$I149</f>
        <v>-0.2200675581468815</v>
      </c>
      <c r="AA149" s="3">
        <f>Z149*$B$162+$B$161</f>
        <v>9.6973865651390145</v>
      </c>
      <c r="AB149" s="1">
        <v>1</v>
      </c>
      <c r="AC149" s="3">
        <v>-0.27574183299999999</v>
      </c>
      <c r="AD149" s="3">
        <v>-0.23985341199999999</v>
      </c>
      <c r="AE149" s="3">
        <v>0.21363271</v>
      </c>
      <c r="AF149" s="3">
        <v>-2.7421357E-2</v>
      </c>
      <c r="AG149" s="3">
        <v>-0.26521208899999998</v>
      </c>
      <c r="AH149" s="3">
        <v>-0.437555588</v>
      </c>
      <c r="AI149" s="3">
        <v>0.16001795199999999</v>
      </c>
      <c r="AJ149" s="3">
        <v>8.0689272000000006E-2</v>
      </c>
      <c r="AK149" s="3">
        <f>AN149+AO149*$G149+AP149*$H149+AQ149*$I149</f>
        <v>-2.9894501025751762E-2</v>
      </c>
      <c r="AL149" s="3">
        <f>AK149*$B$162+$B$161</f>
        <v>10.777396279730903</v>
      </c>
      <c r="AM149" s="1">
        <v>0</v>
      </c>
      <c r="AN149" s="3">
        <v>-0.25974846699999998</v>
      </c>
      <c r="AO149" s="3">
        <v>-0.46703683299999998</v>
      </c>
      <c r="AP149" s="3">
        <v>9.7003433E-2</v>
      </c>
      <c r="AQ149" s="3">
        <v>7.0833077999999994E-2</v>
      </c>
    </row>
    <row r="150" spans="1:43" x14ac:dyDescent="0.3">
      <c r="A150" s="1">
        <v>13301</v>
      </c>
      <c r="B150" s="3">
        <v>4.2</v>
      </c>
      <c r="C150" s="3">
        <v>100</v>
      </c>
      <c r="D150" s="3">
        <v>0.49</v>
      </c>
      <c r="E150" s="3">
        <v>60.229999999999897</v>
      </c>
      <c r="F150" s="3">
        <f>(B150-B$161)/B$162</f>
        <v>-1.1880725632353468</v>
      </c>
      <c r="G150" s="3">
        <f>(C150-C$161)/C$162</f>
        <v>1.1038758643818527</v>
      </c>
      <c r="H150" s="3">
        <f>(D150-D$161)/D$162</f>
        <v>-0.52023024266639728</v>
      </c>
      <c r="I150" s="3">
        <f>(E150-E$161)/E$162</f>
        <v>1.8950707705540439</v>
      </c>
      <c r="J150" s="2">
        <v>902471.09999999905</v>
      </c>
      <c r="K150" s="1">
        <v>3699878</v>
      </c>
      <c r="L150" s="3">
        <f>O150+P150*$G150+Q150*$H150+R150*$I150</f>
        <v>-0.69601334308845697</v>
      </c>
      <c r="M150" s="3">
        <f>L150*$B$162+$B$161</f>
        <v>6.9944480987896149</v>
      </c>
      <c r="N150" s="1">
        <v>1</v>
      </c>
      <c r="O150" s="3">
        <v>0.152735132</v>
      </c>
      <c r="P150" s="3">
        <v>-0.40878743200000001</v>
      </c>
      <c r="Q150" s="3">
        <v>0.37351620499999999</v>
      </c>
      <c r="R150" s="3">
        <v>-0.107216824</v>
      </c>
      <c r="S150" s="3">
        <f>V150+W150*$G150+X150*$H150+Y150*$I150</f>
        <v>-0.71200010828790472</v>
      </c>
      <c r="T150" s="3">
        <f>S150*$B$162+$B$161</f>
        <v>6.9036578365848813</v>
      </c>
      <c r="U150" s="1">
        <v>3</v>
      </c>
      <c r="V150" s="3">
        <v>0.57876851500000004</v>
      </c>
      <c r="W150" s="3">
        <v>-0.118666143</v>
      </c>
      <c r="X150" s="3">
        <v>1.1943427209999999</v>
      </c>
      <c r="Y150" s="3">
        <v>-0.28412803199999997</v>
      </c>
      <c r="Z150" s="3">
        <f>AC150+AD150*$G150+AE150*$H150+AF150*$I150</f>
        <v>-1.0105098190163546</v>
      </c>
      <c r="AA150" s="3">
        <f>Z150*$B$162+$B$161</f>
        <v>5.2083946254487552</v>
      </c>
      <c r="AB150" s="1">
        <v>0</v>
      </c>
      <c r="AC150" s="3">
        <v>0.54283203499999999</v>
      </c>
      <c r="AD150" s="3">
        <v>-0.49819849599999999</v>
      </c>
      <c r="AE150" s="3">
        <v>0.48327922000000001</v>
      </c>
      <c r="AF150" s="3">
        <v>-0.39680633799999998</v>
      </c>
      <c r="AG150" s="3">
        <v>0.19197697499999999</v>
      </c>
      <c r="AH150" s="3">
        <v>-0.25676804199999997</v>
      </c>
      <c r="AI150" s="3">
        <v>0.72997737299999998</v>
      </c>
      <c r="AJ150" s="3">
        <v>-0.16924107399999999</v>
      </c>
      <c r="AK150" s="3">
        <f>AN150+AO150*$G150+AP150*$H150+AQ150*$I150</f>
        <v>-0.69152957850892682</v>
      </c>
      <c r="AL150" s="3">
        <f>AK150*$B$162+$B$161</f>
        <v>7.0199117968399189</v>
      </c>
      <c r="AM150" s="1">
        <v>0</v>
      </c>
      <c r="AN150" s="3">
        <v>-0.25974846699999998</v>
      </c>
      <c r="AO150" s="3">
        <v>-0.46703683299999998</v>
      </c>
      <c r="AP150" s="3">
        <v>9.7003433E-2</v>
      </c>
      <c r="AQ150" s="3">
        <v>7.0833077999999994E-2</v>
      </c>
    </row>
    <row r="151" spans="1:43" x14ac:dyDescent="0.3">
      <c r="A151" s="1">
        <v>13303</v>
      </c>
      <c r="B151" s="3">
        <v>9.8000000000000007</v>
      </c>
      <c r="C151" s="3">
        <v>67.099999999999895</v>
      </c>
      <c r="D151" s="3">
        <v>0.2</v>
      </c>
      <c r="E151" s="3">
        <v>51.8599999999999</v>
      </c>
      <c r="F151" s="3">
        <f>(B151-B$161)/B$162</f>
        <v>-0.20199891455455271</v>
      </c>
      <c r="G151" s="3">
        <f>(C151-C$161)/C$162</f>
        <v>-0.11401021023069176</v>
      </c>
      <c r="H151" s="3">
        <f>(D151-D$161)/D$162</f>
        <v>-0.75554333359584203</v>
      </c>
      <c r="I151" s="3">
        <f>(E151-E$161)/E$162</f>
        <v>1.412024760143066</v>
      </c>
      <c r="J151" s="2">
        <v>894704.3</v>
      </c>
      <c r="K151" s="1">
        <v>3648583</v>
      </c>
      <c r="L151" s="3">
        <f>O151+P151*$G151+Q151*$H151+R151*$I151</f>
        <v>-0.23425941580768461</v>
      </c>
      <c r="M151" s="3">
        <f>L151*$B$162+$B$161</f>
        <v>9.6167897425722408</v>
      </c>
      <c r="N151" s="1">
        <v>1</v>
      </c>
      <c r="O151" s="3">
        <v>0.152735132</v>
      </c>
      <c r="P151" s="3">
        <v>-0.40878743200000001</v>
      </c>
      <c r="Q151" s="3">
        <v>0.37351620499999999</v>
      </c>
      <c r="R151" s="3">
        <v>-0.107216824</v>
      </c>
      <c r="S151" s="3">
        <f>V151+W151*$G151+X151*$H151+Y151*$I151</f>
        <v>1.6195358773055543E-2</v>
      </c>
      <c r="T151" s="3">
        <f>S151*$B$162+$B$161</f>
        <v>11.039144694992402</v>
      </c>
      <c r="U151" s="1">
        <v>2</v>
      </c>
      <c r="V151" s="3">
        <v>-0.13655372900000001</v>
      </c>
      <c r="W151" s="3">
        <v>-0.53975352499999996</v>
      </c>
      <c r="X151" s="3">
        <v>6.0196410000000001E-3</v>
      </c>
      <c r="Y151" s="3">
        <v>6.7817348E-2</v>
      </c>
      <c r="Z151" s="3">
        <f>AC151+AD151*$G151+AE151*$H151+AF151*$I151</f>
        <v>-0.32580701690852215</v>
      </c>
      <c r="AA151" s="3">
        <f>Z151*$B$162+$B$161</f>
        <v>9.0968827692436722</v>
      </c>
      <c r="AB151" s="1">
        <v>0</v>
      </c>
      <c r="AC151" s="3">
        <v>0.54283203499999999</v>
      </c>
      <c r="AD151" s="3">
        <v>-0.49819849599999999</v>
      </c>
      <c r="AE151" s="3">
        <v>0.48327922000000001</v>
      </c>
      <c r="AF151" s="3">
        <v>-0.39680633799999998</v>
      </c>
      <c r="AG151" s="3">
        <v>0.122120281</v>
      </c>
      <c r="AH151" s="3">
        <v>-0.252660571</v>
      </c>
      <c r="AI151" s="3">
        <v>0.68696697900000003</v>
      </c>
      <c r="AJ151" s="3">
        <v>-0.14181048399999999</v>
      </c>
      <c r="AK151" s="3">
        <f>AN151+AO151*$G151+AP151*$H151+AQ151*$I151</f>
        <v>-0.17977373665010932</v>
      </c>
      <c r="AL151" s="3">
        <f>AK151*$B$162+$B$161</f>
        <v>9.9262187631029306</v>
      </c>
      <c r="AM151" s="1">
        <v>0</v>
      </c>
      <c r="AN151" s="3">
        <v>-0.25974846699999998</v>
      </c>
      <c r="AO151" s="3">
        <v>-0.46703683299999998</v>
      </c>
      <c r="AP151" s="3">
        <v>9.7003433E-2</v>
      </c>
      <c r="AQ151" s="3">
        <v>7.0833077999999994E-2</v>
      </c>
    </row>
    <row r="152" spans="1:43" x14ac:dyDescent="0.3">
      <c r="A152" s="1">
        <v>13305</v>
      </c>
      <c r="B152" s="3">
        <v>9.6</v>
      </c>
      <c r="C152" s="3">
        <v>59.899999999999899</v>
      </c>
      <c r="D152" s="3">
        <v>0.5</v>
      </c>
      <c r="E152" s="3">
        <v>19.4499999999999</v>
      </c>
      <c r="F152" s="3">
        <f>(B152-B$161)/B$162</f>
        <v>-0.23721583057886697</v>
      </c>
      <c r="G152" s="3">
        <f>(C152-C$161)/C$162</f>
        <v>-0.38053846972036615</v>
      </c>
      <c r="H152" s="3">
        <f>(D152-D$161)/D$162</f>
        <v>-0.51211599815158881</v>
      </c>
      <c r="I152" s="3">
        <f>(E152-E$161)/E$162</f>
        <v>-0.45840787993098414</v>
      </c>
      <c r="J152" s="2">
        <v>986832.8</v>
      </c>
      <c r="K152" s="1">
        <v>3494323</v>
      </c>
      <c r="L152" s="3">
        <f>O152+P152*$G152+Q152*$H152+R152*$I152</f>
        <v>-0.26276434982467384</v>
      </c>
      <c r="M152" s="3">
        <f>L152*$B$162+$B$161</f>
        <v>9.4549076856805527</v>
      </c>
      <c r="N152" s="1">
        <v>0</v>
      </c>
      <c r="O152" s="3">
        <v>-0.29754170299999999</v>
      </c>
      <c r="P152" s="3">
        <v>-0.36655891800000001</v>
      </c>
      <c r="Q152" s="3">
        <v>0.15384221300000001</v>
      </c>
      <c r="R152" s="3">
        <v>5.6559581999999997E-2</v>
      </c>
      <c r="S152" s="3">
        <f>V152+W152*$G152+X152*$H152+Y152*$I152</f>
        <v>-0.57679458420872132</v>
      </c>
      <c r="T152" s="3">
        <f>S152*$B$162+$B$161</f>
        <v>7.6715020395573177</v>
      </c>
      <c r="U152" s="1">
        <v>0</v>
      </c>
      <c r="V152" s="3">
        <v>-0.54906074100000002</v>
      </c>
      <c r="W152" s="3">
        <v>-0.34651111899999998</v>
      </c>
      <c r="X152" s="3">
        <v>0.18161730300000001</v>
      </c>
      <c r="Y152" s="3">
        <v>0.14525389</v>
      </c>
      <c r="Z152" s="3">
        <f>AC152+AD152*$G152+AE152*$H152+AF152*$I152</f>
        <v>-0.28130294503258979</v>
      </c>
      <c r="AA152" s="3">
        <f>Z152*$B$162+$B$161</f>
        <v>9.3496253537743925</v>
      </c>
      <c r="AB152" s="1">
        <v>1</v>
      </c>
      <c r="AC152" s="3">
        <v>-0.27574183299999999</v>
      </c>
      <c r="AD152" s="3">
        <v>-0.23985341199999999</v>
      </c>
      <c r="AE152" s="3">
        <v>0.21363271</v>
      </c>
      <c r="AF152" s="3">
        <v>-2.7421357E-2</v>
      </c>
      <c r="AG152" s="3">
        <v>-0.22854044200000001</v>
      </c>
      <c r="AH152" s="3">
        <v>-0.45073820799999997</v>
      </c>
      <c r="AI152" s="3">
        <v>0.208410715</v>
      </c>
      <c r="AJ152" s="3">
        <v>5.048507E-2</v>
      </c>
      <c r="AK152" s="3">
        <f>AN152+AO152*$G152+AP152*$H152+AQ152*$I152</f>
        <v>-0.16417043629702557</v>
      </c>
      <c r="AL152" s="3">
        <f>AK152*$B$162+$B$161</f>
        <v>10.01483129432123</v>
      </c>
      <c r="AM152" s="1">
        <v>0</v>
      </c>
      <c r="AN152" s="3">
        <v>-0.25974846699999998</v>
      </c>
      <c r="AO152" s="3">
        <v>-0.46703683299999998</v>
      </c>
      <c r="AP152" s="3">
        <v>9.7003433E-2</v>
      </c>
      <c r="AQ152" s="3">
        <v>7.0833077999999994E-2</v>
      </c>
    </row>
    <row r="153" spans="1:43" x14ac:dyDescent="0.3">
      <c r="A153" s="1">
        <v>13307</v>
      </c>
      <c r="B153" s="3">
        <v>5.5</v>
      </c>
      <c r="C153" s="3">
        <v>100</v>
      </c>
      <c r="D153" s="3">
        <v>0.09</v>
      </c>
      <c r="E153" s="3">
        <v>50.2</v>
      </c>
      <c r="F153" s="3">
        <f>(B153-B$161)/B$162</f>
        <v>-0.95916260907730544</v>
      </c>
      <c r="G153" s="3">
        <f>(C153-C$161)/C$162</f>
        <v>1.1038758643818527</v>
      </c>
      <c r="H153" s="3">
        <f>(D153-D$161)/D$162</f>
        <v>-0.84480002325873471</v>
      </c>
      <c r="I153" s="3">
        <f>(E153-E$161)/E$162</f>
        <v>1.3162235203244073</v>
      </c>
      <c r="J153" s="2">
        <v>731576.3</v>
      </c>
      <c r="K153" s="1">
        <v>3544716</v>
      </c>
      <c r="L153" s="3">
        <f>O153+P153*$G153+Q153*$H153+R153*$I153</f>
        <v>-0.75769809844658487</v>
      </c>
      <c r="M153" s="3">
        <f>L153*$B$162+$B$161</f>
        <v>6.6441348838815282</v>
      </c>
      <c r="N153" s="1">
        <v>0</v>
      </c>
      <c r="O153" s="3">
        <v>-0.29754170299999999</v>
      </c>
      <c r="P153" s="3">
        <v>-0.36655891800000001</v>
      </c>
      <c r="Q153" s="3">
        <v>0.15384221300000001</v>
      </c>
      <c r="R153" s="3">
        <v>5.6559581999999997E-2</v>
      </c>
      <c r="S153" s="3">
        <f>V153+W153*$G153+X153*$H153+Y153*$I153</f>
        <v>-0.89380971736602244</v>
      </c>
      <c r="T153" s="3">
        <f>S153*$B$162+$B$161</f>
        <v>5.8711448876793346</v>
      </c>
      <c r="U153" s="1">
        <v>0</v>
      </c>
      <c r="V153" s="3">
        <v>-0.54906074100000002</v>
      </c>
      <c r="W153" s="3">
        <v>-0.34651111899999998</v>
      </c>
      <c r="X153" s="3">
        <v>0.18161730300000001</v>
      </c>
      <c r="Y153" s="3">
        <v>0.14525389</v>
      </c>
      <c r="Z153" s="3">
        <f>AC153+AD153*$G153+AE153*$H153+AF153*$I153</f>
        <v>-0.93767739179159881</v>
      </c>
      <c r="AA153" s="3">
        <f>Z153*$B$162+$B$161</f>
        <v>5.6220164609011931</v>
      </c>
      <c r="AB153" s="1">
        <v>0</v>
      </c>
      <c r="AC153" s="3">
        <v>0.54283203499999999</v>
      </c>
      <c r="AD153" s="3">
        <v>-0.49819849599999999</v>
      </c>
      <c r="AE153" s="3">
        <v>0.48327922000000001</v>
      </c>
      <c r="AF153" s="3">
        <v>-0.39680633799999998</v>
      </c>
      <c r="AG153" s="3">
        <v>-7.2289221000000001E-2</v>
      </c>
      <c r="AH153" s="3">
        <v>-0.35237852400000003</v>
      </c>
      <c r="AI153" s="3">
        <v>0.254696967</v>
      </c>
      <c r="AJ153" s="3">
        <v>-4.4205504999999999E-2</v>
      </c>
      <c r="AK153" s="3">
        <f>AN153+AO153*$G153+AP153*$H153+AQ153*$I153</f>
        <v>-0.76401549390004164</v>
      </c>
      <c r="AL153" s="3">
        <f>AK153*$B$162+$B$161</f>
        <v>6.6082578329262702</v>
      </c>
      <c r="AM153" s="1">
        <v>0</v>
      </c>
      <c r="AN153" s="3">
        <v>-0.25974846699999998</v>
      </c>
      <c r="AO153" s="3">
        <v>-0.46703683299999998</v>
      </c>
      <c r="AP153" s="3">
        <v>9.7003433E-2</v>
      </c>
      <c r="AQ153" s="3">
        <v>7.0833077999999994E-2</v>
      </c>
    </row>
    <row r="154" spans="1:43" x14ac:dyDescent="0.3">
      <c r="A154" s="1">
        <v>13309</v>
      </c>
      <c r="B154" s="3">
        <v>8.6</v>
      </c>
      <c r="C154" s="3">
        <v>100</v>
      </c>
      <c r="D154" s="3">
        <v>0.35</v>
      </c>
      <c r="E154" s="3">
        <v>30.059999999999899</v>
      </c>
      <c r="F154" s="3">
        <f>(B154-B$161)/B$162</f>
        <v>-0.41330041070043733</v>
      </c>
      <c r="G154" s="3">
        <f>(C154-C$161)/C$162</f>
        <v>1.1038758643818527</v>
      </c>
      <c r="H154" s="3">
        <f>(D154-D$161)/D$162</f>
        <v>-0.63382966587371548</v>
      </c>
      <c r="I154" s="3">
        <f>(E154-E$161)/E$162</f>
        <v>0.15391209264493902</v>
      </c>
      <c r="J154" s="2">
        <v>898776.3</v>
      </c>
      <c r="K154" s="1">
        <v>3563384</v>
      </c>
      <c r="L154" s="3">
        <f>O154+P154*$G154+Q154*$H154+R154*$I154</f>
        <v>-0.55176306500959016</v>
      </c>
      <c r="M154" s="3">
        <f>L154*$B$162+$B$161</f>
        <v>7.8136582646046744</v>
      </c>
      <c r="N154" s="1">
        <v>1</v>
      </c>
      <c r="O154" s="3">
        <v>0.152735132</v>
      </c>
      <c r="P154" s="3">
        <v>-0.40878743200000001</v>
      </c>
      <c r="Q154" s="3">
        <v>0.37351620499999999</v>
      </c>
      <c r="R154" s="3">
        <v>-0.107216824</v>
      </c>
      <c r="S154" s="3">
        <f>V154+W154*$G154+X154*$H154+Y154*$I154</f>
        <v>-0.72575213505792668</v>
      </c>
      <c r="T154" s="3">
        <f>S154*$B$162+$B$161</f>
        <v>6.8255588527867124</v>
      </c>
      <c r="U154" s="1">
        <v>2</v>
      </c>
      <c r="V154" s="3">
        <v>-0.13655372900000001</v>
      </c>
      <c r="W154" s="3">
        <v>-0.53975352499999996</v>
      </c>
      <c r="X154" s="3">
        <v>6.0196410000000001E-3</v>
      </c>
      <c r="Y154" s="3">
        <v>6.7817348E-2</v>
      </c>
      <c r="Z154" s="3">
        <f>AC154+AD154*$G154+AE154*$H154+AF154*$I154</f>
        <v>-0.3745072607984038</v>
      </c>
      <c r="AA154" s="3">
        <f>Z154*$B$162+$B$161</f>
        <v>8.8203097504349923</v>
      </c>
      <c r="AB154" s="1">
        <v>0</v>
      </c>
      <c r="AC154" s="3">
        <v>0.54283203499999999</v>
      </c>
      <c r="AD154" s="3">
        <v>-0.49819849599999999</v>
      </c>
      <c r="AE154" s="3">
        <v>0.48327922000000001</v>
      </c>
      <c r="AF154" s="3">
        <v>-0.39680633799999998</v>
      </c>
      <c r="AG154" s="3">
        <v>-0.20808154300000001</v>
      </c>
      <c r="AH154" s="3">
        <v>-0.37900132399999997</v>
      </c>
      <c r="AI154" s="3">
        <v>0.28658789400000001</v>
      </c>
      <c r="AJ154" s="3">
        <v>4.5041850000000001E-2</v>
      </c>
      <c r="AK154" s="3">
        <f>AN154+AO154*$G154+AP154*$H154+AQ154*$I154</f>
        <v>-0.8258807409895691</v>
      </c>
      <c r="AL154" s="3">
        <f>AK154*$B$162+$B$161</f>
        <v>6.25691958941389</v>
      </c>
      <c r="AM154" s="1">
        <v>0</v>
      </c>
      <c r="AN154" s="3">
        <v>-0.25974846699999998</v>
      </c>
      <c r="AO154" s="3">
        <v>-0.46703683299999998</v>
      </c>
      <c r="AP154" s="3">
        <v>9.7003433E-2</v>
      </c>
      <c r="AQ154" s="3">
        <v>7.0833077999999994E-2</v>
      </c>
    </row>
    <row r="155" spans="1:43" x14ac:dyDescent="0.3">
      <c r="A155" s="1">
        <v>13311</v>
      </c>
      <c r="B155" s="3">
        <v>13.6</v>
      </c>
      <c r="C155" s="3">
        <v>100</v>
      </c>
      <c r="D155" s="3">
        <v>1.18</v>
      </c>
      <c r="E155" s="3">
        <v>2.59</v>
      </c>
      <c r="F155" s="3">
        <f>(B155-B$161)/B$162</f>
        <v>0.46712248990741451</v>
      </c>
      <c r="G155" s="3">
        <f>(C155-C$161)/C$162</f>
        <v>1.1038758643818527</v>
      </c>
      <c r="H155" s="3">
        <f>(D155-D$161)/D$162</f>
        <v>3.9652628855384828E-2</v>
      </c>
      <c r="I155" s="3">
        <f>(E155-E$161)/E$162</f>
        <v>-1.4314252915831995</v>
      </c>
      <c r="J155" s="2">
        <v>796905.59999999905</v>
      </c>
      <c r="K155" s="1">
        <v>3841086</v>
      </c>
      <c r="L155" s="3">
        <f>O155+P155*$G155+Q155*$H155+R155*$I155</f>
        <v>-0.13023167484227638</v>
      </c>
      <c r="M155" s="3">
        <f>L155*$B$162+$B$161</f>
        <v>10.207572540779708</v>
      </c>
      <c r="N155" s="1">
        <v>1</v>
      </c>
      <c r="O155" s="3">
        <v>0.152735132</v>
      </c>
      <c r="P155" s="3">
        <v>-0.40878743200000001</v>
      </c>
      <c r="Q155" s="3">
        <v>0.37351620499999999</v>
      </c>
      <c r="R155" s="3">
        <v>-0.107216824</v>
      </c>
      <c r="S155" s="3">
        <f>V155+W155*$G155+X155*$H155+Y155*$I155</f>
        <v>-0.22959704465044695</v>
      </c>
      <c r="T155" s="3">
        <f>S155*$B$162+$B$161</f>
        <v>9.6432677632712629</v>
      </c>
      <c r="U155" s="1">
        <v>1</v>
      </c>
      <c r="V155" s="3">
        <v>-0.18342203200000001</v>
      </c>
      <c r="W155" s="3">
        <v>-0.17380490200000001</v>
      </c>
      <c r="X155" s="3">
        <v>0.64175570999999998</v>
      </c>
      <c r="Y155" s="3">
        <v>-8.3997902999999999E-2</v>
      </c>
      <c r="Z155" s="3">
        <f>AC155+AD155*$G155+AE155*$H155+AF155*$I155</f>
        <v>0.58004465921215242</v>
      </c>
      <c r="AA155" s="3">
        <f>Z155*$B$162+$B$161</f>
        <v>14.241295048247697</v>
      </c>
      <c r="AB155" s="1">
        <v>0</v>
      </c>
      <c r="AC155" s="3">
        <v>0.54283203499999999</v>
      </c>
      <c r="AD155" s="3">
        <v>-0.49819849599999999</v>
      </c>
      <c r="AE155" s="3">
        <v>0.48327922000000001</v>
      </c>
      <c r="AF155" s="3">
        <v>-0.39680633799999998</v>
      </c>
      <c r="AG155" s="3">
        <v>0.150186135</v>
      </c>
      <c r="AH155" s="3">
        <v>-0.29097299700000001</v>
      </c>
      <c r="AI155" s="3">
        <v>0.72727365200000005</v>
      </c>
      <c r="AJ155" s="3">
        <v>-6.6244951999999996E-2</v>
      </c>
      <c r="AK155" s="3">
        <f>AN155+AO155*$G155+AP155*$H155+AQ155*$I155</f>
        <v>-0.14563472263683747</v>
      </c>
      <c r="AL155" s="3">
        <f>AK155*$B$162+$B$161</f>
        <v>10.120097261661419</v>
      </c>
      <c r="AM155" s="1">
        <v>4</v>
      </c>
      <c r="AN155" s="3">
        <v>0.61558443699999998</v>
      </c>
      <c r="AO155" s="3">
        <v>-0.957700683</v>
      </c>
      <c r="AP155" s="3">
        <v>0.17952755200000001</v>
      </c>
      <c r="AQ155" s="3">
        <v>-0.20178822599999999</v>
      </c>
    </row>
    <row r="156" spans="1:43" x14ac:dyDescent="0.3">
      <c r="A156" s="1">
        <v>13313</v>
      </c>
      <c r="B156" s="3">
        <v>12</v>
      </c>
      <c r="C156" s="3">
        <v>70</v>
      </c>
      <c r="D156" s="3">
        <v>2.5499999999999998</v>
      </c>
      <c r="E156" s="3">
        <v>4.0599999999999996</v>
      </c>
      <c r="F156" s="3">
        <f>(B156-B$161)/B$162</f>
        <v>0.18538716171290198</v>
      </c>
      <c r="G156" s="3">
        <f>(C156-C$161)/C$162</f>
        <v>-6.6585501584578563E-3</v>
      </c>
      <c r="H156" s="3">
        <f>(D156-D$161)/D$162</f>
        <v>1.1513041273841407</v>
      </c>
      <c r="I156" s="3">
        <f>(E156-E$161)/E$162</f>
        <v>-1.3465892539124542</v>
      </c>
      <c r="J156" s="2">
        <v>686891.4</v>
      </c>
      <c r="K156" s="1">
        <v>3855274</v>
      </c>
      <c r="L156" s="3">
        <f>O156+P156*$G156+Q156*$H156+R156*$I156</f>
        <v>-0.1941443025926371</v>
      </c>
      <c r="M156" s="3">
        <f>L156*$B$162+$B$161</f>
        <v>9.8446070403012733</v>
      </c>
      <c r="N156" s="1">
        <v>0</v>
      </c>
      <c r="O156" s="3">
        <v>-0.29754170299999999</v>
      </c>
      <c r="P156" s="3">
        <v>-0.36655891800000001</v>
      </c>
      <c r="Q156" s="3">
        <v>0.15384221300000001</v>
      </c>
      <c r="R156" s="3">
        <v>5.6559581999999997E-2</v>
      </c>
      <c r="S156" s="3">
        <f>V156+W156*$G156+X156*$H156+Y156*$I156</f>
        <v>0.66970192788407312</v>
      </c>
      <c r="T156" s="3">
        <f>S156*$B$162+$B$161</f>
        <v>14.750466655494741</v>
      </c>
      <c r="U156" s="1">
        <v>1</v>
      </c>
      <c r="V156" s="3">
        <v>-0.18342203200000001</v>
      </c>
      <c r="W156" s="3">
        <v>-0.17380490200000001</v>
      </c>
      <c r="X156" s="3">
        <v>0.64175570999999998</v>
      </c>
      <c r="Y156" s="3">
        <v>-8.3997902999999999E-2</v>
      </c>
      <c r="Z156" s="3">
        <f>AC156+AD156*$G156+AE156*$H156+AF156*$I156</f>
        <v>8.7367684056355172E-3</v>
      </c>
      <c r="AA156" s="3">
        <f>Z156*$B$162+$B$161</f>
        <v>10.996786696567607</v>
      </c>
      <c r="AB156" s="1">
        <v>1</v>
      </c>
      <c r="AC156" s="3">
        <v>-0.27574183299999999</v>
      </c>
      <c r="AD156" s="3">
        <v>-0.23985341199999999</v>
      </c>
      <c r="AE156" s="3">
        <v>0.21363271</v>
      </c>
      <c r="AF156" s="3">
        <v>-2.7421357E-2</v>
      </c>
      <c r="AG156" s="3">
        <v>0.122247893</v>
      </c>
      <c r="AH156" s="3">
        <v>-0.26669491699999998</v>
      </c>
      <c r="AI156" s="3">
        <v>0.72537151200000005</v>
      </c>
      <c r="AJ156" s="3">
        <v>-3.9997123000000002E-2</v>
      </c>
      <c r="AK156" s="3">
        <f>AN156+AO156*$G156+AP156*$H156+AQ156*$I156</f>
        <v>0.96662126272764504</v>
      </c>
      <c r="AL156" s="3">
        <f>AK156*$B$162+$B$161</f>
        <v>16.436697980455598</v>
      </c>
      <c r="AM156" s="1">
        <v>2</v>
      </c>
      <c r="AN156" s="3">
        <v>7.5780177000000004E-2</v>
      </c>
      <c r="AO156" s="3">
        <v>-0.16857382100000001</v>
      </c>
      <c r="AP156" s="3">
        <v>0.83152748499999996</v>
      </c>
      <c r="AQ156" s="3">
        <v>5.0217537999999999E-2</v>
      </c>
    </row>
    <row r="157" spans="1:43" x14ac:dyDescent="0.3">
      <c r="A157" s="1">
        <v>13315</v>
      </c>
      <c r="B157" s="3">
        <v>7.6</v>
      </c>
      <c r="C157" s="3">
        <v>100</v>
      </c>
      <c r="D157" s="3">
        <v>0.09</v>
      </c>
      <c r="E157" s="3">
        <v>31.76</v>
      </c>
      <c r="F157" s="3">
        <f>(B157-B$161)/B$162</f>
        <v>-0.58938499082200768</v>
      </c>
      <c r="G157" s="3">
        <f>(C157-C$161)/C$162</f>
        <v>1.1038758643818527</v>
      </c>
      <c r="H157" s="3">
        <f>(D157-D$161)/D$162</f>
        <v>-0.84480002325873471</v>
      </c>
      <c r="I157" s="3">
        <f>(E157-E$161)/E$162</f>
        <v>0.25202179607369796</v>
      </c>
      <c r="J157" s="2">
        <v>838551.5</v>
      </c>
      <c r="K157" s="1">
        <v>3538547</v>
      </c>
      <c r="L157" s="3">
        <f>O157+P157*$G157+Q157*$H157+R157*$I157</f>
        <v>-0.81788890313388429</v>
      </c>
      <c r="M157" s="3">
        <f>L157*$B$162+$B$161</f>
        <v>6.3023059477773948</v>
      </c>
      <c r="N157" s="1">
        <v>0</v>
      </c>
      <c r="O157" s="3">
        <v>-0.29754170299999999</v>
      </c>
      <c r="P157" s="3">
        <v>-0.36655891800000001</v>
      </c>
      <c r="Q157" s="3">
        <v>0.15384221300000001</v>
      </c>
      <c r="R157" s="3">
        <v>5.6559581999999997E-2</v>
      </c>
      <c r="S157" s="3">
        <f>V157+W157*$G157+X157*$H157+Y157*$I157</f>
        <v>-0.72036856097142121</v>
      </c>
      <c r="T157" s="3">
        <f>S157*$B$162+$B$161</f>
        <v>6.8561326490997603</v>
      </c>
      <c r="U157" s="1">
        <v>2</v>
      </c>
      <c r="V157" s="3">
        <v>-0.13655372900000001</v>
      </c>
      <c r="W157" s="3">
        <v>-0.53975352499999996</v>
      </c>
      <c r="X157" s="3">
        <v>6.0196410000000001E-3</v>
      </c>
      <c r="Y157" s="3">
        <v>6.7817348E-2</v>
      </c>
      <c r="Z157" s="3">
        <f>AC157+AD157*$G157+AE157*$H157+AF157*$I157</f>
        <v>-0.51539540269838902</v>
      </c>
      <c r="AA157" s="3">
        <f>Z157*$B$162+$B$161</f>
        <v>8.0201934551710075</v>
      </c>
      <c r="AB157" s="1">
        <v>0</v>
      </c>
      <c r="AC157" s="3">
        <v>0.54283203499999999</v>
      </c>
      <c r="AD157" s="3">
        <v>-0.49819849599999999</v>
      </c>
      <c r="AE157" s="3">
        <v>0.48327922000000001</v>
      </c>
      <c r="AF157" s="3">
        <v>-0.39680633799999998</v>
      </c>
      <c r="AG157" s="3">
        <v>-0.24433268</v>
      </c>
      <c r="AH157" s="3">
        <v>-0.348206564</v>
      </c>
      <c r="AI157" s="3">
        <v>0.23557256500000001</v>
      </c>
      <c r="AJ157" s="3">
        <v>8.1878796000000004E-2</v>
      </c>
      <c r="AK157" s="3">
        <f>AN157+AO157*$G157+AP157*$H157+AQ157*$I157</f>
        <v>-0.83939617764162666</v>
      </c>
      <c r="AL157" s="3">
        <f>AK157*$B$162+$B$161</f>
        <v>6.1801642219494228</v>
      </c>
      <c r="AM157" s="1">
        <v>0</v>
      </c>
      <c r="AN157" s="3">
        <v>-0.25974846699999998</v>
      </c>
      <c r="AO157" s="3">
        <v>-0.46703683299999998</v>
      </c>
      <c r="AP157" s="3">
        <v>9.7003433E-2</v>
      </c>
      <c r="AQ157" s="3">
        <v>7.0833077999999994E-2</v>
      </c>
    </row>
    <row r="158" spans="1:43" x14ac:dyDescent="0.3">
      <c r="A158" s="1">
        <v>13317</v>
      </c>
      <c r="B158" s="3">
        <v>10.4</v>
      </c>
      <c r="C158" s="3">
        <v>59.6</v>
      </c>
      <c r="D158" s="3">
        <v>0.43</v>
      </c>
      <c r="E158" s="3">
        <v>45.939999999999898</v>
      </c>
      <c r="F158" s="3">
        <f>(B158-B$161)/B$162</f>
        <v>-9.6348166481610556E-2</v>
      </c>
      <c r="G158" s="3">
        <f>(C158-C$161)/C$162</f>
        <v>-0.39164381386576541</v>
      </c>
      <c r="H158" s="3">
        <f>(D158-D$161)/D$162</f>
        <v>-0.56891570975524797</v>
      </c>
      <c r="I158" s="3">
        <f>(E158-E$161)/E$162</f>
        <v>1.0703721458499966</v>
      </c>
      <c r="J158" s="2">
        <v>891228.5</v>
      </c>
      <c r="K158" s="1">
        <v>3749769</v>
      </c>
      <c r="L158" s="3">
        <f>O158+P158*$G158+Q158*$H158+R158*$I158</f>
        <v>-1.4426937919890859E-2</v>
      </c>
      <c r="M158" s="3">
        <f>L158*$B$162+$B$161</f>
        <v>10.86523794704318</v>
      </c>
      <c r="N158" s="1">
        <v>1</v>
      </c>
      <c r="O158" s="3">
        <v>0.152735132</v>
      </c>
      <c r="P158" s="3">
        <v>-0.40878743200000001</v>
      </c>
      <c r="Q158" s="3">
        <v>0.37351620499999999</v>
      </c>
      <c r="R158" s="3">
        <v>-0.107216824</v>
      </c>
      <c r="S158" s="3">
        <f>V158+W158*$G158+X158*$H158+Y158*$I158</f>
        <v>-0.35835969229544523</v>
      </c>
      <c r="T158" s="3">
        <f>S158*$B$162+$B$161</f>
        <v>8.9120132289099949</v>
      </c>
      <c r="U158" s="1">
        <v>3</v>
      </c>
      <c r="V158" s="3">
        <v>0.57876851500000004</v>
      </c>
      <c r="W158" s="3">
        <v>-0.118666143</v>
      </c>
      <c r="X158" s="3">
        <v>1.1943427209999999</v>
      </c>
      <c r="Y158" s="3">
        <v>-0.28412803199999997</v>
      </c>
      <c r="Z158" s="3">
        <f>AC158+AD158*$G158+AE158*$H158+AF158*$I158</f>
        <v>3.8272802087426616E-2</v>
      </c>
      <c r="AA158" s="3">
        <f>Z158*$B$162+$B$161</f>
        <v>11.164524460211641</v>
      </c>
      <c r="AB158" s="1">
        <v>0</v>
      </c>
      <c r="AC158" s="3">
        <v>0.54283203499999999</v>
      </c>
      <c r="AD158" s="3">
        <v>-0.49819849599999999</v>
      </c>
      <c r="AE158" s="3">
        <v>0.48327922000000001</v>
      </c>
      <c r="AF158" s="3">
        <v>-0.39680633799999998</v>
      </c>
      <c r="AG158" s="3">
        <v>0.205302926</v>
      </c>
      <c r="AH158" s="3">
        <v>-0.30733713200000001</v>
      </c>
      <c r="AI158" s="3">
        <v>0.70772979700000005</v>
      </c>
      <c r="AJ158" s="3">
        <v>-0.15296797500000001</v>
      </c>
      <c r="AK158" s="3">
        <f>AN158+AO158*$G158+AP158*$H158+AQ158*$I158</f>
        <v>-0.27751652422704265</v>
      </c>
      <c r="AL158" s="3">
        <f>AK158*$B$162+$B$161</f>
        <v>9.3711287744767215</v>
      </c>
      <c r="AM158" s="1">
        <v>2</v>
      </c>
      <c r="AN158" s="3">
        <v>7.5780177000000004E-2</v>
      </c>
      <c r="AO158" s="3">
        <v>-0.16857382100000001</v>
      </c>
      <c r="AP158" s="3">
        <v>0.83152748499999996</v>
      </c>
      <c r="AQ158" s="3">
        <v>5.0217537999999999E-2</v>
      </c>
    </row>
    <row r="159" spans="1:43" x14ac:dyDescent="0.3">
      <c r="A159" s="1">
        <v>13319</v>
      </c>
      <c r="B159" s="3">
        <v>8.8000000000000007</v>
      </c>
      <c r="C159" s="3">
        <v>100</v>
      </c>
      <c r="D159" s="3">
        <v>0.28999999999999998</v>
      </c>
      <c r="E159" s="3">
        <v>41.99</v>
      </c>
      <c r="F159" s="3">
        <f>(B159-B$161)/B$162</f>
        <v>-0.37808349467612307</v>
      </c>
      <c r="G159" s="3">
        <f>(C159-C$161)/C$162</f>
        <v>1.1038758643818527</v>
      </c>
      <c r="H159" s="3">
        <f>(D159-D$161)/D$162</f>
        <v>-0.68251513296256605</v>
      </c>
      <c r="I159" s="3">
        <f>(E159-E$161)/E$162</f>
        <v>0.84241136435378228</v>
      </c>
      <c r="J159" s="2">
        <v>858796.9</v>
      </c>
      <c r="K159" s="1">
        <v>3637891</v>
      </c>
      <c r="L159" s="3">
        <f>O159+P159*$G159+Q159*$H159+R159*$I159</f>
        <v>-0.64376658115420538</v>
      </c>
      <c r="M159" s="3">
        <f>L159*$B$162+$B$161</f>
        <v>7.2911621091713297</v>
      </c>
      <c r="N159" s="1">
        <v>1</v>
      </c>
      <c r="O159" s="3">
        <v>0.152735132</v>
      </c>
      <c r="P159" s="3">
        <v>-0.40878743200000001</v>
      </c>
      <c r="Q159" s="3">
        <v>0.37351620499999999</v>
      </c>
      <c r="R159" s="3">
        <v>-0.107216824</v>
      </c>
      <c r="S159" s="3">
        <f>V159+W159*$G159+X159*$H159+Y159*$I159</f>
        <v>-0.6067338402914485</v>
      </c>
      <c r="T159" s="3">
        <f>S159*$B$162+$B$161</f>
        <v>7.5014743400162409</v>
      </c>
      <c r="U159" s="1">
        <v>3</v>
      </c>
      <c r="V159" s="3">
        <v>0.57876851500000004</v>
      </c>
      <c r="W159" s="3">
        <v>-0.118666143</v>
      </c>
      <c r="X159" s="3">
        <v>1.1943427209999999</v>
      </c>
      <c r="Y159" s="3">
        <v>-0.28412803199999997</v>
      </c>
      <c r="Z159" s="3">
        <f>AC159+AD159*$G159+AE159*$H159+AF159*$I159</f>
        <v>-0.67123681008089231</v>
      </c>
      <c r="AA159" s="3">
        <f>Z159*$B$162+$B$161</f>
        <v>7.1351562345642447</v>
      </c>
      <c r="AB159" s="1">
        <v>0</v>
      </c>
      <c r="AC159" s="3">
        <v>0.54283203499999999</v>
      </c>
      <c r="AD159" s="3">
        <v>-0.49819849599999999</v>
      </c>
      <c r="AE159" s="3">
        <v>0.48327922000000001</v>
      </c>
      <c r="AF159" s="3">
        <v>-0.39680633799999998</v>
      </c>
      <c r="AG159" s="3">
        <v>0.13180852700000001</v>
      </c>
      <c r="AH159" s="3">
        <v>-0.24886493500000001</v>
      </c>
      <c r="AI159" s="3">
        <v>0.67288347800000003</v>
      </c>
      <c r="AJ159" s="3">
        <v>-0.14016219899999999</v>
      </c>
      <c r="AK159" s="3">
        <f>AN159+AO159*$G159+AP159*$H159+AQ159*$I159</f>
        <v>-0.78183487581850042</v>
      </c>
      <c r="AL159" s="3">
        <f>AK159*$B$162+$B$161</f>
        <v>6.5070599772925961</v>
      </c>
      <c r="AM159" s="1">
        <v>0</v>
      </c>
      <c r="AN159" s="3">
        <v>-0.25974846699999998</v>
      </c>
      <c r="AO159" s="3">
        <v>-0.46703683299999998</v>
      </c>
      <c r="AP159" s="3">
        <v>9.7003433E-2</v>
      </c>
      <c r="AQ159" s="3">
        <v>7.0833077999999994E-2</v>
      </c>
    </row>
    <row r="160" spans="1:43" x14ac:dyDescent="0.3">
      <c r="A160" s="1">
        <v>13321</v>
      </c>
      <c r="B160" s="3">
        <v>6.3</v>
      </c>
      <c r="C160" s="3">
        <v>71.099999999999895</v>
      </c>
      <c r="D160" s="3">
        <v>0.59</v>
      </c>
      <c r="E160" s="3">
        <v>30.71</v>
      </c>
      <c r="F160" s="3">
        <f>(B160-B$161)/B$162</f>
        <v>-0.81829494498004918</v>
      </c>
      <c r="G160" s="3">
        <f>(C160-C$161)/C$162</f>
        <v>3.4061045041349637E-2</v>
      </c>
      <c r="H160" s="3">
        <f>(D160-D$161)/D$162</f>
        <v>-0.43908779751831295</v>
      </c>
      <c r="I160" s="3">
        <f>(E160-E$161)/E$162</f>
        <v>0.19142462630887988</v>
      </c>
      <c r="J160" s="2">
        <v>801018.09999999905</v>
      </c>
      <c r="K160" s="1">
        <v>3487328</v>
      </c>
      <c r="L160" s="3">
        <f>O160+P160*$G160+Q160*$H160+R160*$I160</f>
        <v>-0.36675042443928307</v>
      </c>
      <c r="M160" s="3">
        <f>L160*$B$162+$B$161</f>
        <v>8.8643615143870953</v>
      </c>
      <c r="N160" s="1">
        <v>0</v>
      </c>
      <c r="O160" s="3">
        <v>-0.29754170299999999</v>
      </c>
      <c r="P160" s="3">
        <v>-0.36655891800000001</v>
      </c>
      <c r="Q160" s="3">
        <v>0.15384221300000001</v>
      </c>
      <c r="R160" s="3">
        <v>5.6559581999999997E-2</v>
      </c>
      <c r="S160" s="3">
        <f>V160+W160*$G160+X160*$H160+Y160*$I160</f>
        <v>-0.61280404178391246</v>
      </c>
      <c r="T160" s="3">
        <f>S160*$B$162+$B$161</f>
        <v>7.467001125562863</v>
      </c>
      <c r="U160" s="1">
        <v>0</v>
      </c>
      <c r="V160" s="3">
        <v>-0.54906074100000002</v>
      </c>
      <c r="W160" s="3">
        <v>-0.34651111899999998</v>
      </c>
      <c r="X160" s="3">
        <v>0.18161730300000001</v>
      </c>
      <c r="Y160" s="3">
        <v>0.14525389</v>
      </c>
      <c r="Z160" s="3">
        <f>AC160+AD160*$G160+AE160*$H160+AF160*$I160</f>
        <v>-0.38296412999782925</v>
      </c>
      <c r="AA160" s="3">
        <f>Z160*$B$162+$B$161</f>
        <v>8.7722824376879771</v>
      </c>
      <c r="AB160" s="1">
        <v>1</v>
      </c>
      <c r="AC160" s="3">
        <v>-0.27574183299999999</v>
      </c>
      <c r="AD160" s="3">
        <v>-0.23985341199999999</v>
      </c>
      <c r="AE160" s="3">
        <v>0.21363271</v>
      </c>
      <c r="AF160" s="3">
        <v>-2.7421357E-2</v>
      </c>
      <c r="AG160" s="3">
        <v>-0.27323956100000002</v>
      </c>
      <c r="AH160" s="3">
        <v>-0.35949223800000002</v>
      </c>
      <c r="AI160" s="3">
        <v>0.15841475399999999</v>
      </c>
      <c r="AJ160" s="3">
        <v>8.6793624E-2</v>
      </c>
      <c r="AK160" s="3">
        <f>AN160+AO160*$G160+AP160*$H160+AQ160*$I160</f>
        <v>-0.30469005786600978</v>
      </c>
      <c r="AL160" s="3">
        <f>AK160*$B$162+$B$161</f>
        <v>9.2168078588110447</v>
      </c>
      <c r="AM160" s="1">
        <v>0</v>
      </c>
      <c r="AN160" s="3">
        <v>-0.25974846699999998</v>
      </c>
      <c r="AO160" s="3">
        <v>-0.46703683299999998</v>
      </c>
      <c r="AP160" s="3">
        <v>9.7003433E-2</v>
      </c>
      <c r="AQ160" s="3">
        <v>7.0833077999999994E-2</v>
      </c>
    </row>
    <row r="161" spans="2:9" x14ac:dyDescent="0.3">
      <c r="B161" s="3">
        <f>AVERAGE(B2:B160)</f>
        <v>10.947169811320736</v>
      </c>
      <c r="C161" s="3">
        <f>AVERAGE(C2:C160)</f>
        <v>70.179874213836428</v>
      </c>
      <c r="D161" s="3">
        <f>AVERAGE(D2:D160)</f>
        <v>1.1311320754716978</v>
      </c>
      <c r="E161" s="3">
        <f>AVERAGE(E2:E160)</f>
        <v>27.393081761006279</v>
      </c>
      <c r="F161" s="3">
        <f>AVERAGE(F2:F160)</f>
        <v>1.5766563456626437E-15</v>
      </c>
      <c r="G161" s="3">
        <f>AVERAGE(G2:G160)</f>
        <v>8.1542913581450665E-16</v>
      </c>
      <c r="H161" s="3">
        <f>AVERAGE(H2:H160)</f>
        <v>2.639398134014523E-16</v>
      </c>
      <c r="I161" s="3">
        <f>AVERAGE(I2:I160)</f>
        <v>-1.0307966918886085E-15</v>
      </c>
    </row>
    <row r="162" spans="2:9" x14ac:dyDescent="0.3">
      <c r="B162" s="3">
        <f>_xlfn.STDEV.P(B2:B160)</f>
        <v>5.6790889884258524</v>
      </c>
      <c r="C162" s="3">
        <f>_xlfn.STDEV.P(C2:C160)</f>
        <v>27.014021003948862</v>
      </c>
      <c r="D162" s="3">
        <f>_xlfn.STDEV.P(D2:D160)</f>
        <v>1.2324006235885636</v>
      </c>
      <c r="E162" s="3">
        <f>_xlfn.STDEV.P(E2:E160)</f>
        <v>17.327541931003136</v>
      </c>
      <c r="F162" s="3">
        <f>_xlfn.STDEV.P(F2:F160)</f>
        <v>0.999999999999998</v>
      </c>
      <c r="G162" s="3">
        <f>_xlfn.STDEV.P(G2:G160)</f>
        <v>0.99999999999999856</v>
      </c>
      <c r="H162" s="3">
        <f>_xlfn.STDEV.P(H2:H160)</f>
        <v>0.99999999999999978</v>
      </c>
      <c r="I162" s="3">
        <f>_xlfn.STDEV.P(I2:I160)</f>
        <v>1.0000000000000018</v>
      </c>
    </row>
  </sheetData>
  <autoFilter ref="A1:AQ162" xr:uid="{00000000-0001-0000-0000-000000000000}"/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Join4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Guo</dc:creator>
  <cp:lastModifiedBy>Alfred Guo</cp:lastModifiedBy>
  <dcterms:created xsi:type="dcterms:W3CDTF">2022-05-17T05:50:09Z</dcterms:created>
  <dcterms:modified xsi:type="dcterms:W3CDTF">2022-05-17T08:40:33Z</dcterms:modified>
</cp:coreProperties>
</file>